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er/Documents/webster_lab/lab_data_shimadzu_excel/excel_data_webster_lab/"/>
    </mc:Choice>
  </mc:AlternateContent>
  <xr:revisionPtr revIDLastSave="0" documentId="13_ncr:1_{D12206AF-1F01-1543-BA39-72C73EEFB68C}" xr6:coauthVersionLast="47" xr6:coauthVersionMax="47" xr10:uidLastSave="{00000000-0000-0000-0000-000000000000}"/>
  <bookViews>
    <workbookView xWindow="0" yWindow="500" windowWidth="35840" windowHeight="20140" activeTab="7" xr2:uid="{5F2D2696-8641-2644-AB7C-C09C5B75A1C7}"/>
  </bookViews>
  <sheets>
    <sheet name="run_notes" sheetId="18" r:id="rId1"/>
    <sheet name="raw_data" sheetId="1" r:id="rId2"/>
    <sheet name="working_data" sheetId="2" r:id="rId3"/>
    <sheet name="cal_curves" sheetId="13" r:id="rId4"/>
    <sheet name="calc_data" sheetId="4" r:id="rId5"/>
    <sheet name="qc_rep_blanks" sheetId="17" r:id="rId6"/>
    <sheet name="calculations" sheetId="15" r:id="rId7"/>
    <sheet name="data_report" sheetId="11" r:id="rId8"/>
  </sheets>
  <definedNames>
    <definedName name="_xlnm._FilterDatabase" localSheetId="2" hidden="1">working_data!#REF!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M25" i="4"/>
  <c r="M24" i="4"/>
  <c r="M23" i="4"/>
  <c r="M22" i="4"/>
  <c r="M21" i="4"/>
  <c r="M19" i="4"/>
  <c r="M18" i="4"/>
  <c r="M17" i="4"/>
  <c r="M16" i="4"/>
  <c r="M15" i="4"/>
  <c r="M13" i="4"/>
  <c r="M12" i="4"/>
  <c r="M11" i="4"/>
  <c r="M10" i="4"/>
  <c r="M9" i="4"/>
  <c r="M7" i="4"/>
  <c r="M6" i="4"/>
  <c r="M5" i="4"/>
  <c r="M4" i="4"/>
  <c r="M3" i="4"/>
  <c r="L25" i="4"/>
  <c r="L24" i="4"/>
  <c r="L23" i="4"/>
  <c r="L22" i="4"/>
  <c r="L21" i="4"/>
  <c r="L19" i="4"/>
  <c r="L18" i="4"/>
  <c r="L17" i="4"/>
  <c r="L16" i="4"/>
  <c r="L15" i="4"/>
  <c r="L13" i="4"/>
  <c r="L12" i="4"/>
  <c r="L11" i="4"/>
  <c r="L10" i="4"/>
  <c r="L9" i="4"/>
  <c r="L7" i="4"/>
  <c r="L6" i="4"/>
  <c r="L5" i="4"/>
  <c r="L4" i="4"/>
  <c r="L3" i="4"/>
  <c r="B38" i="17"/>
  <c r="C38" i="17" s="1"/>
  <c r="B37" i="17"/>
  <c r="C37" i="17" s="1"/>
  <c r="B36" i="17"/>
  <c r="B35" i="17"/>
  <c r="B34" i="17"/>
  <c r="A38" i="17"/>
  <c r="A37" i="17"/>
  <c r="A36" i="17"/>
  <c r="A35" i="17"/>
  <c r="A34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A27" i="17"/>
  <c r="A25" i="17"/>
  <c r="A23" i="17"/>
  <c r="A21" i="17"/>
  <c r="A19" i="17"/>
  <c r="A17" i="17"/>
  <c r="A15" i="17"/>
  <c r="A13" i="17"/>
  <c r="C8" i="17"/>
  <c r="D8" i="17" s="1"/>
  <c r="C7" i="17"/>
  <c r="D7" i="17" s="1"/>
  <c r="C6" i="17"/>
  <c r="D6" i="17" s="1"/>
  <c r="C5" i="17"/>
  <c r="C4" i="17"/>
  <c r="B8" i="17"/>
  <c r="B7" i="17"/>
  <c r="B6" i="17"/>
  <c r="B5" i="17"/>
  <c r="B4" i="17"/>
  <c r="G23" i="4"/>
  <c r="G24" i="4"/>
  <c r="G25" i="4"/>
  <c r="G26" i="4"/>
  <c r="G27" i="4"/>
  <c r="G33" i="4"/>
  <c r="G34" i="4"/>
  <c r="G35" i="4"/>
  <c r="G36" i="4"/>
  <c r="G37" i="4"/>
  <c r="G14" i="4"/>
  <c r="G15" i="4"/>
  <c r="G16" i="4"/>
  <c r="G17" i="4"/>
  <c r="G13" i="4"/>
  <c r="F34" i="4"/>
  <c r="F35" i="4"/>
  <c r="F36" i="4"/>
  <c r="F37" i="4"/>
  <c r="F33" i="4"/>
  <c r="F24" i="4"/>
  <c r="F25" i="4"/>
  <c r="F26" i="4"/>
  <c r="F27" i="4"/>
  <c r="F23" i="4"/>
  <c r="F14" i="4"/>
  <c r="F15" i="4"/>
  <c r="F16" i="4"/>
  <c r="F17" i="4"/>
  <c r="F1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3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44" i="4"/>
  <c r="B34" i="4"/>
  <c r="B35" i="4"/>
  <c r="B36" i="4"/>
  <c r="B37" i="4"/>
  <c r="B38" i="4"/>
  <c r="B33" i="4"/>
  <c r="B24" i="4"/>
  <c r="B25" i="4"/>
  <c r="B26" i="4"/>
  <c r="B27" i="4"/>
  <c r="B28" i="4"/>
  <c r="B23" i="4"/>
  <c r="B14" i="4"/>
  <c r="B15" i="4"/>
  <c r="B16" i="4"/>
  <c r="B17" i="4"/>
  <c r="B18" i="4"/>
  <c r="B13" i="4"/>
  <c r="B4" i="4"/>
  <c r="B5" i="4"/>
  <c r="B6" i="4"/>
  <c r="B7" i="4"/>
  <c r="B8" i="4"/>
  <c r="B3" i="4"/>
  <c r="A59" i="4"/>
  <c r="A60" i="4"/>
  <c r="A61" i="4"/>
  <c r="A62" i="4"/>
  <c r="A63" i="4"/>
  <c r="A64" i="4"/>
  <c r="A65" i="4"/>
  <c r="A53" i="4"/>
  <c r="A54" i="4"/>
  <c r="A55" i="4"/>
  <c r="A56" i="4"/>
  <c r="A57" i="4"/>
  <c r="A58" i="4"/>
  <c r="A41" i="4"/>
  <c r="A42" i="4"/>
  <c r="A43" i="4"/>
  <c r="A44" i="4"/>
  <c r="A45" i="4"/>
  <c r="A46" i="4"/>
  <c r="A47" i="4"/>
  <c r="A48" i="4"/>
  <c r="A49" i="4"/>
  <c r="A50" i="4"/>
  <c r="A51" i="4"/>
  <c r="A52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3" i="4"/>
  <c r="B6" i="13"/>
  <c r="B7" i="13"/>
  <c r="B8" i="13"/>
  <c r="B9" i="13"/>
  <c r="B10" i="13"/>
  <c r="B5" i="13"/>
  <c r="B4" i="13"/>
  <c r="C34" i="17" l="1"/>
  <c r="C35" i="17"/>
  <c r="C36" i="17"/>
  <c r="H68" i="15"/>
  <c r="H63" i="15"/>
  <c r="H58" i="15"/>
  <c r="H53" i="15"/>
  <c r="H48" i="15"/>
  <c r="H41" i="15" l="1"/>
  <c r="H34" i="15"/>
  <c r="H27" i="15"/>
  <c r="H20" i="15"/>
  <c r="H13" i="15"/>
  <c r="H6" i="15"/>
  <c r="L6" i="15"/>
  <c r="G3" i="4" l="1"/>
  <c r="F5" i="4" l="1"/>
  <c r="G5" i="4" s="1"/>
  <c r="G4" i="4"/>
  <c r="F6" i="4"/>
  <c r="G6" i="4" s="1"/>
  <c r="F7" i="4"/>
  <c r="G7" i="4" s="1"/>
  <c r="E27" i="17" l="1"/>
  <c r="E23" i="17"/>
  <c r="D23" i="17"/>
  <c r="E21" i="17"/>
  <c r="D21" i="17"/>
  <c r="D25" i="17"/>
  <c r="E25" i="17"/>
  <c r="D27" i="17"/>
  <c r="E15" i="17"/>
  <c r="D5" i="17"/>
  <c r="D4" i="17"/>
  <c r="D13" i="17"/>
  <c r="D15" i="17"/>
  <c r="E19" i="17"/>
  <c r="D19" i="17"/>
  <c r="E13" i="17"/>
  <c r="E4" i="17" l="1"/>
  <c r="E17" i="17" l="1"/>
  <c r="D17" i="17"/>
</calcChain>
</file>

<file path=xl/sharedStrings.xml><?xml version="1.0" encoding="utf-8"?>
<sst xmlns="http://schemas.openxmlformats.org/spreadsheetml/2006/main" count="1595" uniqueCount="318">
  <si>
    <t>NPOC</t>
  </si>
  <si>
    <t>Sample ID</t>
  </si>
  <si>
    <t>Mean Area</t>
  </si>
  <si>
    <t>TN</t>
  </si>
  <si>
    <t>Calibration summary from instrument</t>
  </si>
  <si>
    <t>Analysis</t>
  </si>
  <si>
    <t>Standard Error</t>
  </si>
  <si>
    <t>Intercept</t>
  </si>
  <si>
    <t>Slope</t>
  </si>
  <si>
    <t>Sample Name</t>
  </si>
  <si>
    <t>NPOC QC</t>
  </si>
  <si>
    <t>Measured Conc.</t>
  </si>
  <si>
    <t>Error</t>
  </si>
  <si>
    <t>Prepared Concentration =</t>
  </si>
  <si>
    <t>mg/L</t>
  </si>
  <si>
    <t>Error Avg</t>
  </si>
  <si>
    <t>QC #</t>
  </si>
  <si>
    <t>Std 1</t>
  </si>
  <si>
    <t>Std 2</t>
  </si>
  <si>
    <t>Std 3</t>
  </si>
  <si>
    <t>Std 5</t>
  </si>
  <si>
    <t>Std 4</t>
  </si>
  <si>
    <t>Std 6</t>
  </si>
  <si>
    <t>QC 1</t>
  </si>
  <si>
    <t>QC 2</t>
  </si>
  <si>
    <t>QC 3</t>
  </si>
  <si>
    <t>User</t>
  </si>
  <si>
    <t>Residuals</t>
  </si>
  <si>
    <t>Standard Residuals</t>
  </si>
  <si>
    <t>Predicted Mean Area</t>
  </si>
  <si>
    <t>Vial</t>
  </si>
  <si>
    <t>Cal Curve Standard (NPOC/TN)</t>
  </si>
  <si>
    <t>NPOC mass</t>
  </si>
  <si>
    <t>#</t>
  </si>
  <si>
    <t>nanopure flush</t>
  </si>
  <si>
    <t>Blank</t>
  </si>
  <si>
    <t>NPOC beginning</t>
  </si>
  <si>
    <t>TN beginning</t>
  </si>
  <si>
    <t>QC 4</t>
  </si>
  <si>
    <t>NPOC Stock Mass</t>
  </si>
  <si>
    <t>QC 5</t>
  </si>
  <si>
    <r>
      <t>r</t>
    </r>
    <r>
      <rPr>
        <b/>
        <vertAlign val="superscript"/>
        <sz val="12"/>
        <color rgb="FF000000"/>
        <rFont val="SourceSansPro-Regular"/>
      </rPr>
      <t>2</t>
    </r>
  </si>
  <si>
    <t>Prep Conc (g/mL)</t>
  </si>
  <si>
    <t>Complete Calibration Curves</t>
  </si>
  <si>
    <t>NPOC Avg</t>
  </si>
  <si>
    <t>NPOC % Errors</t>
  </si>
  <si>
    <t>Blank #</t>
  </si>
  <si>
    <t>Blanks</t>
  </si>
  <si>
    <t>QC</t>
  </si>
  <si>
    <t>Vol Flask Final (mL)</t>
  </si>
  <si>
    <t>Stock Conc (ppm)</t>
  </si>
  <si>
    <t>NPOC Desired Conc (mg/L)</t>
  </si>
  <si>
    <t>NPOC Vol Needed (mL)</t>
  </si>
  <si>
    <t>Sample mL</t>
  </si>
  <si>
    <t>Dilution mL</t>
  </si>
  <si>
    <t>Total mL</t>
  </si>
  <si>
    <t>Info</t>
  </si>
  <si>
    <t>blank 1 (nanopure)</t>
  </si>
  <si>
    <t>blank 2 (nanopure)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</si>
  <si>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</si>
  <si>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</si>
  <si>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</si>
  <si>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</si>
  <si>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</si>
  <si>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</si>
  <si>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</si>
  <si>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</si>
  <si>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</si>
  <si>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</si>
  <si>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</si>
  <si>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</si>
  <si>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</si>
  <si>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</si>
  <si>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</si>
  <si>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</si>
  <si>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</si>
  <si>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</si>
  <si>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</si>
  <si>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</si>
  <si>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</si>
  <si>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</si>
  <si>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</si>
  <si>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</si>
  <si>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Replicates (Different Vial)</t>
  </si>
  <si>
    <t>Analysis(Inj.)</t>
  </si>
  <si>
    <t>Conc.</t>
  </si>
  <si>
    <t>0position</t>
  </si>
  <si>
    <t>nanopure</t>
  </si>
  <si>
    <t>Vial_25</t>
  </si>
  <si>
    <t>Vial_26</t>
  </si>
  <si>
    <t>Vial_27</t>
  </si>
  <si>
    <t>Vial_28</t>
  </si>
  <si>
    <t>Vial_29</t>
  </si>
  <si>
    <t>Vial_30</t>
  </si>
  <si>
    <t>Vial_31</t>
  </si>
  <si>
    <t>Vial_32</t>
  </si>
  <si>
    <t>Vial_33</t>
  </si>
  <si>
    <t>Vial_34</t>
  </si>
  <si>
    <t>Vial_35</t>
  </si>
  <si>
    <t>Vial_36</t>
  </si>
  <si>
    <t>[Header]</t>
  </si>
  <si>
    <t>System</t>
  </si>
  <si>
    <t>TOC-L</t>
  </si>
  <si>
    <t>S/W Version</t>
  </si>
  <si>
    <t>Date/Time</t>
  </si>
  <si>
    <t>[System]</t>
  </si>
  <si>
    <t>Instrument Options</t>
  </si>
  <si>
    <t>TOC/ASI/IC Unit/TN/</t>
  </si>
  <si>
    <t>[Data]</t>
  </si>
  <si>
    <t>Type</t>
  </si>
  <si>
    <t>Anal.</t>
  </si>
  <si>
    <t>Date / Time</t>
  </si>
  <si>
    <t>Spl. No.</t>
  </si>
  <si>
    <t>Inj. No.</t>
  </si>
  <si>
    <t>Area</t>
  </si>
  <si>
    <t>SD Area</t>
  </si>
  <si>
    <t>CV Area</t>
  </si>
  <si>
    <t>Excluded</t>
  </si>
  <si>
    <t>Inj. Vol.</t>
  </si>
  <si>
    <t>Auto. Dil.</t>
  </si>
  <si>
    <t>Unknown</t>
  </si>
  <si>
    <t>Standard</t>
  </si>
  <si>
    <t>20 mg/L NPOC</t>
  </si>
  <si>
    <t>10 mg/L NPOC</t>
  </si>
  <si>
    <t>5 mg/L NPOC</t>
  </si>
  <si>
    <t>2 mg/L NPOC</t>
  </si>
  <si>
    <t>1 mg/L NPOC</t>
  </si>
  <si>
    <t>0.5 mg/L NPOC</t>
  </si>
  <si>
    <t>Volume Spiking Solution</t>
  </si>
  <si>
    <t>Matrix Spike Concentration</t>
  </si>
  <si>
    <t>Final Volume MS (mL)</t>
  </si>
  <si>
    <t>Conc. Spiking Solution</t>
  </si>
  <si>
    <t>% Recovery = [(spiked sample result - unspiked sample result) x 100% ] / known spike added concentration</t>
  </si>
  <si>
    <t>Untitled</t>
  </si>
  <si>
    <t>NPOC_CAL</t>
  </si>
  <si>
    <t>Vial_19</t>
  </si>
  <si>
    <t>Vial_20</t>
  </si>
  <si>
    <t>Vial_21</t>
  </si>
  <si>
    <t>Vial_22</t>
  </si>
  <si>
    <t>Vial_23</t>
  </si>
  <si>
    <t>Vial_24</t>
  </si>
  <si>
    <t>Vial_9_QC1</t>
  </si>
  <si>
    <t>Vial_10_QC2</t>
  </si>
  <si>
    <t>Sample</t>
  </si>
  <si>
    <t>Sample Vial</t>
  </si>
  <si>
    <t>SLOC 10 mg/L matrix spike</t>
  </si>
  <si>
    <t>SLOC 5 mg/L matrix spike</t>
  </si>
  <si>
    <t>SLOC 2 mg/L matrix spike</t>
  </si>
  <si>
    <t>SLOC 1 mg/L matrix spike</t>
  </si>
  <si>
    <t>SLOC 0.5 mg/L matrix spike</t>
  </si>
  <si>
    <t>SLOC plain matrix</t>
  </si>
  <si>
    <t>SLOW 10 mg/L matrix spike</t>
  </si>
  <si>
    <t>SLOW 5 mg/L matrix spike</t>
  </si>
  <si>
    <t>SLOW 2 mg/L matrix spike</t>
  </si>
  <si>
    <t>SLOW 1 mg/L matrix spike</t>
  </si>
  <si>
    <t>SLOW 0.5 mg/L matrix spike</t>
  </si>
  <si>
    <t>SLOW plain matrix</t>
  </si>
  <si>
    <t>VDOS 10 mg/L matrix spike</t>
  </si>
  <si>
    <t>VDOS 5 mg/L matrix spike</t>
  </si>
  <si>
    <t>VDOS 2 mg/L matrix spike</t>
  </si>
  <si>
    <t>VDOS 1 mg/L matrix spike</t>
  </si>
  <si>
    <t>VDOS 0.5 mg/L matrix spike</t>
  </si>
  <si>
    <t>VDOS plain matrix</t>
  </si>
  <si>
    <t>VDOW 10 mg/L matrix spike</t>
  </si>
  <si>
    <t>VDOW 5 mg/L matrix spike</t>
  </si>
  <si>
    <t>VDOW 2 mg/L matrix spike</t>
  </si>
  <si>
    <t>VDOW 1 mg/L matrix spike</t>
  </si>
  <si>
    <t>VDOW 0.5 mg/L matrix spike</t>
  </si>
  <si>
    <t>VDOW plain matrix</t>
  </si>
  <si>
    <t>Conc (mg/L)</t>
  </si>
  <si>
    <t>Matrix Spike</t>
  </si>
  <si>
    <t>% Recovery (hoping for 1)</t>
  </si>
  <si>
    <t>(Spiked - Unspiked) (hoping for Column E)</t>
  </si>
  <si>
    <t>NPOC (non-purgeable organic carbon)</t>
  </si>
  <si>
    <t>(Spiked - Unspiked)</t>
  </si>
  <si>
    <t>Final values</t>
  </si>
  <si>
    <t>QC 1 (10 mg-C/L)</t>
  </si>
  <si>
    <t>QC 2 (10 mg-C/L)</t>
  </si>
  <si>
    <t>QC 3 (10 mg-C/L)</t>
  </si>
  <si>
    <t>QC 4 (10 mg-C/L)</t>
  </si>
  <si>
    <t>blank 3 (nanopure)</t>
  </si>
  <si>
    <t>blank 4 (nanopure)</t>
  </si>
  <si>
    <t>QC 5 (10 mg-C/L)</t>
  </si>
  <si>
    <t>blank 5 (nanopure)</t>
  </si>
  <si>
    <t>filter test: sample 1</t>
  </si>
  <si>
    <t>filter test: sample 2</t>
  </si>
  <si>
    <t>filter test: sample 3</t>
  </si>
  <si>
    <t>filter test: sample 4</t>
  </si>
  <si>
    <t>filter test: sample 5</t>
  </si>
  <si>
    <t>filter test: sample 6</t>
  </si>
  <si>
    <t>filter test: sample 7</t>
  </si>
  <si>
    <t>filter test: sample 8</t>
  </si>
  <si>
    <t>filter test: sample 9</t>
  </si>
  <si>
    <t>filter test: sample 10</t>
  </si>
  <si>
    <t>filter test: sample 11</t>
  </si>
  <si>
    <t>filter test: sample 12</t>
  </si>
  <si>
    <t>filter test: sample 13</t>
  </si>
  <si>
    <t>filter test: sample 14</t>
  </si>
  <si>
    <t>filter test: sample 15</t>
  </si>
  <si>
    <t>filter test: sample 16</t>
  </si>
  <si>
    <t>filter test: sample 17</t>
  </si>
  <si>
    <t>filter test: sample 18</t>
  </si>
  <si>
    <t>filter test: sample 19</t>
  </si>
  <si>
    <t>filter test: sample 20</t>
  </si>
  <si>
    <t>Plan for Tuesday 2025-06-09</t>
  </si>
  <si>
    <t>Pack at UNM</t>
  </si>
  <si>
    <t>four clean water jugs</t>
  </si>
  <si>
    <t>two white buckets</t>
  </si>
  <si>
    <t>pump + tubing</t>
  </si>
  <si>
    <t>sharpie</t>
  </si>
  <si>
    <t>parafilm</t>
  </si>
  <si>
    <t>rubber bands</t>
  </si>
  <si>
    <t>gloves?</t>
  </si>
  <si>
    <t>field bag</t>
  </si>
  <si>
    <t>Go to sites and collect water as normal</t>
  </si>
  <si>
    <t>Take it back to campus</t>
  </si>
  <si>
    <t>Go to UNM, set out bucket of water to equilibrate to room temp</t>
  </si>
  <si>
    <t>Put jugs in buckets of room temp water (for how long?)</t>
  </si>
  <si>
    <t>Make remaining calibration standard and five QCs</t>
  </si>
  <si>
    <t>10 mg/L (times 4)</t>
  </si>
  <si>
    <t>5 mg/L (times 4)</t>
  </si>
  <si>
    <t>2 mg/L (times 4)</t>
  </si>
  <si>
    <t>1 mg/L (times 4)</t>
  </si>
  <si>
    <t>0.5 mg/L (times 4)</t>
  </si>
  <si>
    <t>Make matrix spikes of each well (not filtered)</t>
  </si>
  <si>
    <t>Put in buckets of room temp water to equilibrate (for how long?)</t>
  </si>
  <si>
    <t>Procedure for NPOC analysis:</t>
  </si>
  <si>
    <t>Rinse the filter with the standard amount (20 mL?)</t>
  </si>
  <si>
    <t>Filter ~ 20 mL of sample into the vial</t>
  </si>
  <si>
    <t>Not acidifying!</t>
  </si>
  <si>
    <t>Procedure for filter rinse test:</t>
  </si>
  <si>
    <t>CHECK IF THERE ARE ENOUGH FILTER HOLDERS</t>
  </si>
  <si>
    <t>Have nanopure in a beaker</t>
  </si>
  <si>
    <t>Draw up ~ 50 mL of sample with a clean syringe</t>
  </si>
  <si>
    <t>Attach filter holder + filter</t>
  </si>
  <si>
    <t>Push through 5 mL of sample into vial 1, then 5 mL of sample into vial 2, etc.</t>
  </si>
  <si>
    <t>Repeat the above step with four filter holders + filters for a total of 20 mL per vial</t>
  </si>
  <si>
    <t>Repeat the above four steps with another syringe-full of 50 mL of nanopure, reusing the same filters</t>
  </si>
  <si>
    <t>REP</t>
  </si>
  <si>
    <t>filter 1</t>
  </si>
  <si>
    <t>filter 2</t>
  </si>
  <si>
    <t>rinsed with 50 mL plain SLOC</t>
  </si>
  <si>
    <t>rinsed with 50 mL plain SLOW</t>
  </si>
  <si>
    <t>filter 3</t>
  </si>
  <si>
    <t>filter 4</t>
  </si>
  <si>
    <t>filter 6</t>
  </si>
  <si>
    <t>filter 5</t>
  </si>
  <si>
    <t>rinsed with 50 mL plain VDOS</t>
  </si>
  <si>
    <t>filter 8</t>
  </si>
  <si>
    <t>filter 7</t>
  </si>
  <si>
    <t>rinsed with 50 mL plain VDOW</t>
  </si>
  <si>
    <t>Vial_14_blank1</t>
  </si>
  <si>
    <t>Vial_43_SLOC_0_REP</t>
  </si>
  <si>
    <t>Vial_44_SLOC_10_REP</t>
  </si>
  <si>
    <t>Vial_15_blank2</t>
  </si>
  <si>
    <t>Vial_45_SLOW_0_REP</t>
  </si>
  <si>
    <t>Vial_46_SLOW_10_REP</t>
  </si>
  <si>
    <t>Vial_11_QC3</t>
  </si>
  <si>
    <t>Vial_16_blank3</t>
  </si>
  <si>
    <t>Vial_47_VDOS_0_REP</t>
  </si>
  <si>
    <t>Vial_48_VDOS_10_REP</t>
  </si>
  <si>
    <t>Vial_37</t>
  </si>
  <si>
    <t>Vial_38</t>
  </si>
  <si>
    <t>Vial_39</t>
  </si>
  <si>
    <t>Vial_40</t>
  </si>
  <si>
    <t>Vial_41</t>
  </si>
  <si>
    <t>Vial_42</t>
  </si>
  <si>
    <t>Vial_12_QC4</t>
  </si>
  <si>
    <t>Vial_17_blank4</t>
  </si>
  <si>
    <t>Vial_49_VDOW_0_REP</t>
  </si>
  <si>
    <t>Vial_50_VDOW_10_REP</t>
  </si>
  <si>
    <t>Vial_51</t>
  </si>
  <si>
    <t>Vial_52</t>
  </si>
  <si>
    <t>Vial_53</t>
  </si>
  <si>
    <t>Vial_54</t>
  </si>
  <si>
    <t>Vial_55</t>
  </si>
  <si>
    <t>Vial_56</t>
  </si>
  <si>
    <t>Vial_57</t>
  </si>
  <si>
    <t>Vial_58</t>
  </si>
  <si>
    <t>Vial_59</t>
  </si>
  <si>
    <t>Vial_60</t>
  </si>
  <si>
    <t>Vial_61</t>
  </si>
  <si>
    <t>Vial_62</t>
  </si>
  <si>
    <t>Vial_63</t>
  </si>
  <si>
    <t>Vial_64</t>
  </si>
  <si>
    <t>Vial_65</t>
  </si>
  <si>
    <t>Vial_66</t>
  </si>
  <si>
    <t>Vial_67</t>
  </si>
  <si>
    <t>Vial_68</t>
  </si>
  <si>
    <t>Vial_69</t>
  </si>
  <si>
    <t>Vial_70</t>
  </si>
  <si>
    <t>Vial_13_QC5</t>
  </si>
  <si>
    <t>Vial_18_blank5</t>
  </si>
  <si>
    <t>5 mL to wet + 5 mL pushed through</t>
  </si>
  <si>
    <t>10-15 mL</t>
  </si>
  <si>
    <t>15-20 mL</t>
  </si>
  <si>
    <t>20-25 mL</t>
  </si>
  <si>
    <t>25-30 mL</t>
  </si>
  <si>
    <t>30-35 mL</t>
  </si>
  <si>
    <t>35-40 mL</t>
  </si>
  <si>
    <t>refill syringe, 50-55 mL</t>
  </si>
  <si>
    <t>55-60 mL</t>
  </si>
  <si>
    <t>60-65 mL</t>
  </si>
  <si>
    <t>65-70 mL</t>
  </si>
  <si>
    <t>75-80 mL</t>
  </si>
  <si>
    <t>80-85 mL</t>
  </si>
  <si>
    <t>85-90 mL</t>
  </si>
  <si>
    <t>90-95 mL</t>
  </si>
  <si>
    <t>70-75 mL</t>
  </si>
  <si>
    <t>95-100 mL</t>
  </si>
  <si>
    <t>40-45 mL</t>
  </si>
  <si>
    <t>45-50 mL</t>
  </si>
  <si>
    <t>refill syringe, 100-105 mL</t>
  </si>
  <si>
    <t>Carbon (mg/L)</t>
  </si>
  <si>
    <t>% Correct from expected</t>
  </si>
  <si>
    <t>NPOC_mg_L</t>
  </si>
  <si>
    <t>TN_mg_L</t>
  </si>
  <si>
    <t>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</si>
</sst>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0"/>
    <numFmt numFmtId="166" formatCode="0.000"/>
    <numFmt numFmtId="167" formatCode="0.0%"/>
    <numFmt numFmtId="168" formatCode="0.0"/>
  </numFmts>
  <fonts count="19">
    <font>
      <sz val="12"/>
      <color theme="1"/>
      <name val="SourceSansPro-Regular"/>
      <family val="2"/>
    </font>
    <font>
      <sz val="10"/>
      <color theme="1"/>
      <name val="SourceSansPro-Regular"/>
      <family val="2"/>
    </font>
    <font>
      <sz val="10"/>
      <color theme="1"/>
      <name val="SourceSansPro-Regular"/>
      <family val="2"/>
    </font>
    <font>
      <sz val="10"/>
      <color theme="1"/>
      <name val="SourceSansPro-Regular"/>
      <family val="2"/>
    </font>
    <font>
      <b/>
      <sz val="10"/>
      <color theme="1"/>
      <name val="SourceSansPro-Regular"/>
    </font>
    <font>
      <sz val="10"/>
      <color theme="1"/>
      <name val="SourceSansPro-Regular"/>
    </font>
    <font>
      <sz val="8"/>
      <name val="SourceSansPro-Regular"/>
      <family val="2"/>
    </font>
    <font>
      <b/>
      <sz val="12"/>
      <color theme="1"/>
      <name val="SourceSansPro-Regular"/>
    </font>
    <font>
      <sz val="12"/>
      <color theme="1"/>
      <name val="SourceSansPro-Regular"/>
    </font>
    <font>
      <sz val="12"/>
      <color theme="1"/>
      <name val="SourceSansPro-Regular"/>
      <family val="2"/>
    </font>
    <font>
      <i/>
      <sz val="10"/>
      <color theme="1"/>
      <name val="SourceSansPro-Regular"/>
    </font>
    <font>
      <sz val="10"/>
      <color rgb="FF000000"/>
      <name val="SourceSansPro-Regular"/>
    </font>
    <font>
      <strike/>
      <sz val="10"/>
      <color theme="1"/>
      <name val="SourceSansPro-Regular"/>
    </font>
    <font>
      <i/>
      <sz val="12"/>
      <color theme="1"/>
      <name val="SourceSansPro-Regular"/>
      <family val="2"/>
    </font>
    <font>
      <b/>
      <sz val="12"/>
      <color rgb="FF000000"/>
      <name val="SourceSansPro-Regular"/>
    </font>
    <font>
      <b/>
      <vertAlign val="superscript"/>
      <sz val="12"/>
      <color rgb="FF000000"/>
      <name val="SourceSansPro-Regular"/>
    </font>
    <font>
      <i/>
      <sz val="12"/>
      <color theme="1"/>
      <name val="SourceSansPro-Regular"/>
    </font>
    <font>
      <b/>
      <sz val="10"/>
      <name val="SourceSansPro-Regular"/>
    </font>
    <font>
      <sz val="10"/>
      <name val="SourceSansPro-Regular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9FF7D"/>
        <bgColor indexed="64"/>
      </patternFill>
    </fill>
    <fill>
      <patternFill patternType="solid">
        <fgColor rgb="FFD9DB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8FFA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104">
    <xf numFmtId="0" fontId="0" fillId="0" borderId="0" xfId="0"/>
    <xf numFmtId="0" fontId="3" fillId="0" borderId="0" xfId="0" applyFont="1"/>
    <xf numFmtId="0" fontId="5" fillId="0" borderId="0" xfId="0" applyFont="1"/>
    <xf numFmtId="0" fontId="4" fillId="2" borderId="0" xfId="0" applyFont="1" applyFill="1" applyAlignment="1">
      <alignment horizontal="center"/>
    </xf>
    <xf numFmtId="0" fontId="8" fillId="0" borderId="0" xfId="0" applyFont="1"/>
    <xf numFmtId="22" fontId="0" fillId="0" borderId="0" xfId="0" applyNumberFormat="1"/>
    <xf numFmtId="0" fontId="4" fillId="0" borderId="0" xfId="0" applyFont="1"/>
    <xf numFmtId="0" fontId="5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16" fontId="5" fillId="0" borderId="0" xfId="0" applyNumberFormat="1" applyFont="1"/>
    <xf numFmtId="0" fontId="11" fillId="0" borderId="0" xfId="0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8" fillId="6" borderId="0" xfId="0" applyFont="1" applyFill="1" applyAlignment="1">
      <alignment vertical="center"/>
    </xf>
    <xf numFmtId="165" fontId="8" fillId="6" borderId="0" xfId="0" applyNumberFormat="1" applyFont="1" applyFill="1" applyAlignment="1">
      <alignment vertical="center"/>
    </xf>
    <xf numFmtId="0" fontId="16" fillId="0" borderId="0" xfId="0" applyFont="1" applyAlignment="1">
      <alignment horizontal="centerContinuous"/>
    </xf>
    <xf numFmtId="0" fontId="8" fillId="0" borderId="2" xfId="0" applyFont="1" applyBorder="1"/>
    <xf numFmtId="0" fontId="16" fillId="0" borderId="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4" fillId="6" borderId="0" xfId="0" applyFont="1" applyFill="1" applyAlignment="1">
      <alignment horizontal="center"/>
    </xf>
    <xf numFmtId="0" fontId="2" fillId="0" borderId="0" xfId="0" applyFont="1"/>
    <xf numFmtId="0" fontId="2" fillId="2" borderId="0" xfId="0" applyFont="1" applyFill="1"/>
    <xf numFmtId="166" fontId="2" fillId="2" borderId="0" xfId="0" applyNumberFormat="1" applyFont="1" applyFill="1"/>
    <xf numFmtId="167" fontId="2" fillId="2" borderId="0" xfId="1" applyNumberFormat="1" applyFont="1" applyFill="1" applyBorder="1"/>
    <xf numFmtId="0" fontId="4" fillId="10" borderId="0" xfId="0" applyFont="1" applyFill="1" applyAlignment="1">
      <alignment horizontal="center"/>
    </xf>
    <xf numFmtId="164" fontId="2" fillId="10" borderId="0" xfId="0" applyNumberFormat="1" applyFont="1" applyFill="1"/>
    <xf numFmtId="165" fontId="2" fillId="10" borderId="0" xfId="0" applyNumberFormat="1" applyFont="1" applyFill="1"/>
    <xf numFmtId="2" fontId="2" fillId="0" borderId="0" xfId="0" applyNumberFormat="1" applyFont="1"/>
    <xf numFmtId="0" fontId="11" fillId="4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1" fillId="11" borderId="0" xfId="0" applyFont="1" applyFill="1" applyAlignment="1">
      <alignment horizontal="left"/>
    </xf>
    <xf numFmtId="0" fontId="5" fillId="9" borderId="0" xfId="0" applyFont="1" applyFill="1" applyAlignment="1">
      <alignment horizontal="left"/>
    </xf>
    <xf numFmtId="0" fontId="0" fillId="0" borderId="2" xfId="0" applyBorder="1"/>
    <xf numFmtId="0" fontId="13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Continuous"/>
    </xf>
    <xf numFmtId="0" fontId="5" fillId="4" borderId="0" xfId="0" applyFont="1" applyFill="1" applyAlignment="1">
      <alignment horizontal="left"/>
    </xf>
    <xf numFmtId="16" fontId="5" fillId="0" borderId="0" xfId="0" applyNumberFormat="1" applyFont="1" applyAlignment="1">
      <alignment horizontal="left"/>
    </xf>
    <xf numFmtId="0" fontId="11" fillId="9" borderId="0" xfId="0" applyFont="1" applyFill="1" applyAlignment="1">
      <alignment horizontal="left"/>
    </xf>
    <xf numFmtId="0" fontId="5" fillId="11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1" fillId="10" borderId="0" xfId="0" applyFont="1" applyFill="1"/>
    <xf numFmtId="0" fontId="4" fillId="2" borderId="0" xfId="0" applyFont="1" applyFill="1"/>
    <xf numFmtId="166" fontId="5" fillId="0" borderId="0" xfId="1" applyNumberFormat="1" applyFont="1" applyFill="1" applyAlignment="1">
      <alignment horizontal="center"/>
    </xf>
    <xf numFmtId="168" fontId="5" fillId="0" borderId="0" xfId="0" applyNumberFormat="1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168" fontId="5" fillId="0" borderId="0" xfId="0" applyNumberFormat="1" applyFont="1"/>
    <xf numFmtId="0" fontId="7" fillId="0" borderId="0" xfId="0" applyFont="1"/>
    <xf numFmtId="168" fontId="4" fillId="2" borderId="0" xfId="0" applyNumberFormat="1" applyFont="1" applyFill="1"/>
    <xf numFmtId="168" fontId="5" fillId="2" borderId="0" xfId="0" applyNumberFormat="1" applyFont="1" applyFill="1" applyAlignment="1">
      <alignment horizontal="center"/>
    </xf>
    <xf numFmtId="0" fontId="17" fillId="9" borderId="0" xfId="0" applyFont="1" applyFill="1" applyAlignment="1">
      <alignment horizontal="center"/>
    </xf>
    <xf numFmtId="0" fontId="18" fillId="9" borderId="0" xfId="0" applyFont="1" applyFill="1"/>
    <xf numFmtId="0" fontId="18" fillId="9" borderId="0" xfId="0" applyFont="1" applyFill="1" applyAlignment="1">
      <alignment horizontal="left"/>
    </xf>
    <xf numFmtId="166" fontId="18" fillId="9" borderId="0" xfId="0" applyNumberFormat="1" applyFont="1" applyFill="1"/>
    <xf numFmtId="0" fontId="4" fillId="9" borderId="0" xfId="0" applyFont="1" applyFill="1"/>
    <xf numFmtId="0" fontId="4" fillId="10" borderId="0" xfId="0" applyFont="1" applyFill="1"/>
    <xf numFmtId="1" fontId="5" fillId="0" borderId="0" xfId="0" applyNumberFormat="1" applyFont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166" fontId="5" fillId="0" borderId="2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166" fontId="5" fillId="0" borderId="0" xfId="1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67" fontId="5" fillId="0" borderId="8" xfId="1" applyNumberFormat="1" applyFont="1" applyFill="1" applyBorder="1" applyAlignment="1">
      <alignment horizontal="center"/>
    </xf>
    <xf numFmtId="167" fontId="5" fillId="0" borderId="10" xfId="1" applyNumberFormat="1" applyFont="1" applyFill="1" applyBorder="1" applyAlignment="1">
      <alignment horizontal="center"/>
    </xf>
    <xf numFmtId="167" fontId="5" fillId="0" borderId="12" xfId="1" applyNumberFormat="1" applyFont="1" applyFill="1" applyBorder="1" applyAlignment="1">
      <alignment horizontal="center"/>
    </xf>
    <xf numFmtId="167" fontId="5" fillId="12" borderId="8" xfId="1" applyNumberFormat="1" applyFont="1" applyFill="1" applyBorder="1" applyAlignment="1">
      <alignment horizontal="center"/>
    </xf>
    <xf numFmtId="166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166" fontId="5" fillId="0" borderId="0" xfId="0" applyNumberFormat="1" applyFont="1" applyAlignment="1">
      <alignment horizontal="left"/>
    </xf>
    <xf numFmtId="0" fontId="7" fillId="3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6" fontId="18" fillId="9" borderId="0" xfId="0" applyNumberFormat="1" applyFont="1" applyFill="1" applyAlignment="1">
      <alignment horizontal="center"/>
    </xf>
    <xf numFmtId="10" fontId="18" fillId="9" borderId="0" xfId="1" applyNumberFormat="1" applyFont="1" applyFill="1" applyBorder="1" applyAlignment="1">
      <alignment horizontal="center"/>
    </xf>
    <xf numFmtId="0" fontId="4" fillId="2" borderId="0" xfId="0" applyFont="1" applyFill="1" applyAlignment="1">
      <alignment horizontal="right"/>
    </xf>
    <xf numFmtId="167" fontId="2" fillId="2" borderId="0" xfId="1" applyNumberFormat="1" applyFont="1" applyFill="1" applyBorder="1" applyAlignment="1">
      <alignment horizontal="center" vertical="top"/>
    </xf>
    <xf numFmtId="0" fontId="4" fillId="10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166" fontId="8" fillId="0" borderId="0" xfId="0" applyNumberFormat="1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8FFA1"/>
      <color rgb="FFF9FF7D"/>
      <color rgb="FFD9DBFF"/>
      <color rgb="FFBAFF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cal_curves!$C$3</c:f>
              <c:strCache>
                <c:ptCount val="1"/>
                <c:pt idx="0">
                  <c:v>Prep Conc (g/mL)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cal_curves!$B$4:$B$10</c:f>
              <c:numCache>
                <c:formatCode>General</c:formatCode>
                <c:ptCount val="7"/>
                <c:pt idx="0">
                  <c:v>0.3301</c:v>
                </c:pt>
                <c:pt idx="1">
                  <c:v>137.30000000000001</c:v>
                </c:pt>
                <c:pt idx="2">
                  <c:v>69.06</c:v>
                </c:pt>
                <c:pt idx="3">
                  <c:v>34.200000000000003</c:v>
                </c:pt>
                <c:pt idx="4">
                  <c:v>14.19</c:v>
                </c:pt>
                <c:pt idx="5">
                  <c:v>7.1790000000000003</c:v>
                </c:pt>
                <c:pt idx="6">
                  <c:v>3.66</c:v>
                </c:pt>
              </c:numCache>
            </c:numRef>
          </c:xVal>
          <c:yVal>
            <c:numRef>
              <c:f>cal_curves!$C$4:$C$10</c:f>
              <c:numCache>
                <c:formatCode>General</c:formatCode>
                <c:ptCount val="7"/>
                <c:pt idx="0">
                  <c:v>0</c:v>
                </c:pt>
                <c:pt idx="1">
                  <c:v>20</c:v>
                </c:pt>
                <c:pt idx="2">
                  <c:v>10</c:v>
                </c:pt>
                <c:pt idx="3">
                  <c:v>5</c:v>
                </c:pt>
                <c:pt idx="4">
                  <c:v>2</c:v>
                </c:pt>
                <c:pt idx="5">
                  <c:v>1</c:v>
                </c:pt>
                <c:pt idx="6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E0-7D44-8252-D6D62FCFF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3483264"/>
        <c:axId val="1713559344"/>
      </c:scatterChart>
      <c:valAx>
        <c:axId val="171348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559344"/>
        <c:crosses val="autoZero"/>
        <c:crossBetween val="midCat"/>
      </c:valAx>
      <c:valAx>
        <c:axId val="171355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483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calc_data!$J$43</c:f>
              <c:strCache>
                <c:ptCount val="1"/>
                <c:pt idx="0">
                  <c:v>Carbon (mg/L)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calc_data!$I$44:$I$63</c:f>
              <c:strCache>
                <c:ptCount val="20"/>
                <c:pt idx="0">
                  <c:v>5 mL to wet + 5 mL pushed through</c:v>
                </c:pt>
                <c:pt idx="1">
                  <c:v>10-15 mL</c:v>
                </c:pt>
                <c:pt idx="2">
                  <c:v>15-20 mL</c:v>
                </c:pt>
                <c:pt idx="3">
                  <c:v>20-25 mL</c:v>
                </c:pt>
                <c:pt idx="4">
                  <c:v>25-30 mL</c:v>
                </c:pt>
                <c:pt idx="5">
                  <c:v>30-35 mL</c:v>
                </c:pt>
                <c:pt idx="6">
                  <c:v>35-40 mL</c:v>
                </c:pt>
                <c:pt idx="7">
                  <c:v>40-45 mL</c:v>
                </c:pt>
                <c:pt idx="8">
                  <c:v>45-50 mL</c:v>
                </c:pt>
                <c:pt idx="9">
                  <c:v>refill syringe, 50-55 mL</c:v>
                </c:pt>
                <c:pt idx="10">
                  <c:v>55-60 mL</c:v>
                </c:pt>
                <c:pt idx="11">
                  <c:v>60-65 mL</c:v>
                </c:pt>
                <c:pt idx="12">
                  <c:v>65-70 mL</c:v>
                </c:pt>
                <c:pt idx="13">
                  <c:v>70-75 mL</c:v>
                </c:pt>
                <c:pt idx="14">
                  <c:v>75-80 mL</c:v>
                </c:pt>
                <c:pt idx="15">
                  <c:v>80-85 mL</c:v>
                </c:pt>
                <c:pt idx="16">
                  <c:v>85-90 mL</c:v>
                </c:pt>
                <c:pt idx="17">
                  <c:v>90-95 mL</c:v>
                </c:pt>
                <c:pt idx="18">
                  <c:v>95-100 mL</c:v>
                </c:pt>
                <c:pt idx="19">
                  <c:v>refill syringe, 100-105 mL</c:v>
                </c:pt>
              </c:strCache>
            </c:strRef>
          </c:xVal>
          <c:yVal>
            <c:numRef>
              <c:f>calc_data!$J$44:$J$63</c:f>
              <c:numCache>
                <c:formatCode>0.000</c:formatCode>
                <c:ptCount val="20"/>
                <c:pt idx="0">
                  <c:v>185.00540081636845</c:v>
                </c:pt>
                <c:pt idx="1">
                  <c:v>29.347952397368097</c:v>
                </c:pt>
                <c:pt idx="2">
                  <c:v>20.445735677361515</c:v>
                </c:pt>
                <c:pt idx="3">
                  <c:v>8.4277431053526293</c:v>
                </c:pt>
                <c:pt idx="4">
                  <c:v>4.7778342501499305</c:v>
                </c:pt>
                <c:pt idx="5">
                  <c:v>2.6529772756696706</c:v>
                </c:pt>
                <c:pt idx="6">
                  <c:v>1.7904838196821475</c:v>
                </c:pt>
                <c:pt idx="7">
                  <c:v>0.80175401184535089</c:v>
                </c:pt>
                <c:pt idx="8">
                  <c:v>0.42260714236048041</c:v>
                </c:pt>
                <c:pt idx="9">
                  <c:v>1.2633558394745448</c:v>
                </c:pt>
                <c:pt idx="10">
                  <c:v>0.69507334918428842</c:v>
                </c:pt>
                <c:pt idx="11">
                  <c:v>0.28819826368628265</c:v>
                </c:pt>
                <c:pt idx="12">
                  <c:v>0.15991878013077801</c:v>
                </c:pt>
                <c:pt idx="13">
                  <c:v>9.2320308250334576E-2</c:v>
                </c:pt>
                <c:pt idx="14">
                  <c:v>5.9995045898179535E-2</c:v>
                </c:pt>
                <c:pt idx="15">
                  <c:v>4.0147480751935347E-2</c:v>
                </c:pt>
                <c:pt idx="16">
                  <c:v>3.8133536641507627E-2</c:v>
                </c:pt>
                <c:pt idx="17">
                  <c:v>7.6953039059896991E-2</c:v>
                </c:pt>
                <c:pt idx="18">
                  <c:v>0.12182896760747114</c:v>
                </c:pt>
                <c:pt idx="19">
                  <c:v>0.42640152981490947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EC-FD4A-AF6A-06A0C2597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487663"/>
        <c:axId val="2049063391"/>
      </c:scatterChart>
      <c:valAx>
        <c:axId val="1812487663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063391"/>
        <c:crosses val="autoZero"/>
        <c:crossBetween val="midCat"/>
      </c:valAx>
      <c:valAx>
        <c:axId val="204906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487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calc_data!$P$43</c:f>
              <c:strCache>
                <c:ptCount val="1"/>
                <c:pt idx="0">
                  <c:v>Carbon (mg/L)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calc_data!$O$44:$O$62</c:f>
              <c:strCache>
                <c:ptCount val="19"/>
                <c:pt idx="0">
                  <c:v>10-15 mL</c:v>
                </c:pt>
                <c:pt idx="1">
                  <c:v>15-20 mL</c:v>
                </c:pt>
                <c:pt idx="2">
                  <c:v>20-25 mL</c:v>
                </c:pt>
                <c:pt idx="3">
                  <c:v>25-30 mL</c:v>
                </c:pt>
                <c:pt idx="4">
                  <c:v>30-35 mL</c:v>
                </c:pt>
                <c:pt idx="5">
                  <c:v>35-40 mL</c:v>
                </c:pt>
                <c:pt idx="6">
                  <c:v>40-45 mL</c:v>
                </c:pt>
                <c:pt idx="7">
                  <c:v>45-50 mL</c:v>
                </c:pt>
                <c:pt idx="8">
                  <c:v>refill syringe, 50-55 mL</c:v>
                </c:pt>
                <c:pt idx="9">
                  <c:v>55-60 mL</c:v>
                </c:pt>
                <c:pt idx="10">
                  <c:v>60-65 mL</c:v>
                </c:pt>
                <c:pt idx="11">
                  <c:v>65-70 mL</c:v>
                </c:pt>
                <c:pt idx="12">
                  <c:v>70-75 mL</c:v>
                </c:pt>
                <c:pt idx="13">
                  <c:v>75-80 mL</c:v>
                </c:pt>
                <c:pt idx="14">
                  <c:v>80-85 mL</c:v>
                </c:pt>
                <c:pt idx="15">
                  <c:v>85-90 mL</c:v>
                </c:pt>
                <c:pt idx="16">
                  <c:v>90-95 mL</c:v>
                </c:pt>
                <c:pt idx="17">
                  <c:v>95-100 mL</c:v>
                </c:pt>
                <c:pt idx="18">
                  <c:v>refill syringe, 100-105 mL</c:v>
                </c:pt>
              </c:strCache>
            </c:strRef>
          </c:xVal>
          <c:yVal>
            <c:numRef>
              <c:f>calc_data!$P$44:$P$62</c:f>
              <c:numCache>
                <c:formatCode>0.000</c:formatCode>
                <c:ptCount val="19"/>
                <c:pt idx="0">
                  <c:v>29.347952397368097</c:v>
                </c:pt>
                <c:pt idx="1">
                  <c:v>20.445735677361515</c:v>
                </c:pt>
                <c:pt idx="2">
                  <c:v>8.4277431053526293</c:v>
                </c:pt>
                <c:pt idx="3">
                  <c:v>4.7778342501499305</c:v>
                </c:pt>
                <c:pt idx="4">
                  <c:v>2.6529772756696706</c:v>
                </c:pt>
                <c:pt idx="5">
                  <c:v>1.7904838196821475</c:v>
                </c:pt>
                <c:pt idx="6">
                  <c:v>0.80175401184535089</c:v>
                </c:pt>
                <c:pt idx="7">
                  <c:v>0.42260714236048041</c:v>
                </c:pt>
                <c:pt idx="8">
                  <c:v>1.2633558394745448</c:v>
                </c:pt>
                <c:pt idx="9">
                  <c:v>0.69507334918428842</c:v>
                </c:pt>
                <c:pt idx="10">
                  <c:v>0.28819826368628265</c:v>
                </c:pt>
                <c:pt idx="11">
                  <c:v>0.15991878013077801</c:v>
                </c:pt>
                <c:pt idx="12">
                  <c:v>9.2320308250334576E-2</c:v>
                </c:pt>
                <c:pt idx="13">
                  <c:v>5.9995045898179535E-2</c:v>
                </c:pt>
                <c:pt idx="14">
                  <c:v>4.0147480751935347E-2</c:v>
                </c:pt>
                <c:pt idx="15">
                  <c:v>3.8133536641507627E-2</c:v>
                </c:pt>
                <c:pt idx="16">
                  <c:v>7.6953039059896991E-2</c:v>
                </c:pt>
                <c:pt idx="17">
                  <c:v>0.12182896760747114</c:v>
                </c:pt>
                <c:pt idx="18">
                  <c:v>0.42640152981490947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C2-5547-BD8C-2EC19AC26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78688"/>
        <c:axId val="1921504479"/>
      </c:scatterChart>
      <c:valAx>
        <c:axId val="7757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504479"/>
        <c:crosses val="autoZero"/>
        <c:crossBetween val="midCat"/>
      </c:valAx>
      <c:valAx>
        <c:axId val="1921504479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78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991576</xdr:colOff>
      <xdr:row>11</xdr:row>
      <xdr:rowOff>79131</xdr:rowOff>
    </xdr:from>
    <xdr:to>
      <xdr:col>6</xdr:col>
      <xdr:colOff>263768</xdr:colOff>
      <xdr:row>28</xdr:row>
      <xdr:rowOff>39076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7AAAC5-3897-EEAA-7E2F-323E68339A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143933</xdr:colOff>
      <xdr:row>42</xdr:row>
      <xdr:rowOff>12698</xdr:rowOff>
    </xdr:from>
    <xdr:to>
      <xdr:col>13</xdr:col>
      <xdr:colOff>516467</xdr:colOff>
      <xdr:row>63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615690-175A-11F0-B128-7D27474CC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131233</xdr:colOff>
      <xdr:row>41</xdr:row>
      <xdr:rowOff>165099</xdr:rowOff>
    </xdr:from>
    <xdr:to>
      <xdr:col>20</xdr:col>
      <xdr:colOff>29633</xdr:colOff>
      <xdr:row>62</xdr:row>
      <xdr:rowOff>16932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463A17-F6DD-5C0F-2531-C1DEEF276F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16F71-4878-9B43-A4B7-8179F3E9E897}">
  <dimension ref="A1:B34"/>
  <sheetViews>
    <sheetView zoomScale="130" zoomScaleNormal="130" workbookViewId="0">
      <selection activeCell="A35" sqref="A35"/>
    </sheetView>
  </sheetViews>
  <sheetFormatPr baseColWidth="10" defaultRowHeight="16"/>
  <cols>
    <col min="1" max="1" width="10.83203125" customWidth="1"/>
  </cols>
  <sheetData>
    <row r="1" spans="1:2">
      <c r="A1" s="59" t="s">
        <v>204</v>
      </c>
    </row>
    <row r="2" spans="1:2">
      <c r="A2" t="s">
        <v>216</v>
      </c>
    </row>
    <row r="3" spans="1:2">
      <c r="A3" t="s">
        <v>205</v>
      </c>
    </row>
    <row r="4" spans="1:2">
      <c r="B4" t="s">
        <v>206</v>
      </c>
    </row>
    <row r="5" spans="1:2">
      <c r="B5" t="s">
        <v>207</v>
      </c>
    </row>
    <row r="6" spans="1:2">
      <c r="B6" t="s">
        <v>208</v>
      </c>
    </row>
    <row r="7" spans="1:2">
      <c r="B7" t="s">
        <v>209</v>
      </c>
    </row>
    <row r="8" spans="1:2">
      <c r="B8" t="s">
        <v>210</v>
      </c>
    </row>
    <row r="9" spans="1:2">
      <c r="B9" t="s">
        <v>211</v>
      </c>
    </row>
    <row r="10" spans="1:2">
      <c r="B10" t="s">
        <v>213</v>
      </c>
    </row>
    <row r="11" spans="1:2">
      <c r="B11" t="s">
        <v>212</v>
      </c>
    </row>
    <row r="12" spans="1:2">
      <c r="A12" t="s">
        <v>214</v>
      </c>
    </row>
    <row r="13" spans="1:2">
      <c r="A13" t="s">
        <v>215</v>
      </c>
    </row>
    <row r="14" spans="1:2">
      <c r="A14" t="s">
        <v>217</v>
      </c>
    </row>
    <row r="15" spans="1:2">
      <c r="A15" t="s">
        <v>218</v>
      </c>
    </row>
    <row r="16" spans="1:2">
      <c r="A16" t="s">
        <v>224</v>
      </c>
    </row>
    <row r="17" spans="1:2">
      <c r="B17" t="s">
        <v>219</v>
      </c>
    </row>
    <row r="18" spans="1:2">
      <c r="B18" t="s">
        <v>220</v>
      </c>
    </row>
    <row r="19" spans="1:2">
      <c r="B19" t="s">
        <v>221</v>
      </c>
    </row>
    <row r="20" spans="1:2">
      <c r="B20" t="s">
        <v>222</v>
      </c>
    </row>
    <row r="21" spans="1:2">
      <c r="B21" t="s">
        <v>223</v>
      </c>
    </row>
    <row r="22" spans="1:2">
      <c r="A22" t="s">
        <v>225</v>
      </c>
    </row>
    <row r="23" spans="1:2">
      <c r="A23" t="s">
        <v>226</v>
      </c>
    </row>
    <row r="24" spans="1:2">
      <c r="B24" t="s">
        <v>227</v>
      </c>
    </row>
    <row r="25" spans="1:2">
      <c r="B25" t="s">
        <v>228</v>
      </c>
    </row>
    <row r="26" spans="1:2">
      <c r="B26" t="s">
        <v>229</v>
      </c>
    </row>
    <row r="27" spans="1:2">
      <c r="A27" t="s">
        <v>230</v>
      </c>
    </row>
    <row r="28" spans="1:2">
      <c r="B28" t="s">
        <v>231</v>
      </c>
    </row>
    <row r="29" spans="1:2">
      <c r="B29" t="s">
        <v>232</v>
      </c>
    </row>
    <row r="30" spans="1:2">
      <c r="B30" t="s">
        <v>233</v>
      </c>
    </row>
    <row r="31" spans="1:2">
      <c r="B31" t="s">
        <v>234</v>
      </c>
    </row>
    <row r="32" spans="1:2">
      <c r="B32" t="s">
        <v>235</v>
      </c>
    </row>
    <row r="33" spans="2:2">
      <c r="B33" t="s">
        <v>236</v>
      </c>
    </row>
    <row r="34" spans="2:2">
      <c r="B34" t="s">
        <v>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55E45-4EFA-2046-A629-8DD04A214BF4}">
  <dimension ref="A1:Q206"/>
  <sheetViews>
    <sheetView topLeftCell="A137" zoomScale="109" zoomScaleNormal="110" workbookViewId="0">
      <selection activeCell="I150" sqref="I150"/>
    </sheetView>
  </sheetViews>
  <sheetFormatPr baseColWidth="10" defaultRowHeight="16"/>
  <cols>
    <col min="1" max="1" width="18" bestFit="1" customWidth="1"/>
    <col min="2" max="2" width="18.1640625" bestFit="1" customWidth="1"/>
    <col min="3" max="3" width="20.83203125" bestFit="1" customWidth="1"/>
    <col min="4" max="4" width="10.5" bestFit="1" customWidth="1"/>
    <col min="5" max="5" width="12.33203125" bestFit="1" customWidth="1"/>
    <col min="6" max="6" width="7.6640625" bestFit="1" customWidth="1"/>
    <col min="7" max="7" width="7.1640625" bestFit="1" customWidth="1"/>
    <col min="8" max="8" width="12.1640625" bestFit="1" customWidth="1"/>
    <col min="9" max="9" width="7.1640625" bestFit="1" customWidth="1"/>
    <col min="10" max="10" width="10" bestFit="1" customWidth="1"/>
    <col min="11" max="11" width="6" bestFit="1" customWidth="1"/>
    <col min="12" max="12" width="8.1640625" bestFit="1" customWidth="1"/>
    <col min="13" max="13" width="7.5" bestFit="1" customWidth="1"/>
    <col min="14" max="14" width="4.1640625" bestFit="1" customWidth="1"/>
    <col min="15" max="15" width="8.83203125" bestFit="1" customWidth="1"/>
    <col min="16" max="16" width="7.33203125" bestFit="1" customWidth="1"/>
    <col min="17" max="17" width="8.83203125" bestFit="1" customWidth="1"/>
  </cols>
  <sheetData>
    <row r="1" spans="1:17">
      <c r="A1" t="s">
        <v>100</v>
      </c>
    </row>
    <row r="2" spans="1:17">
      <c r="A2" t="s">
        <v>101</v>
      </c>
      <c r="B2" t="s">
        <v>102</v>
      </c>
    </row>
    <row r="3" spans="1:17">
      <c r="A3" t="s">
        <v>103</v>
      </c>
      <c r="B3">
        <v>1</v>
      </c>
    </row>
    <row r="4" spans="1:17">
      <c r="A4" t="s">
        <v>26</v>
      </c>
    </row>
    <row r="5" spans="1:17">
      <c r="A5" t="s">
        <v>104</v>
      </c>
      <c r="B5" s="5">
        <v>45819.532835648148</v>
      </c>
    </row>
    <row r="7" spans="1:17">
      <c r="A7" t="s">
        <v>105</v>
      </c>
    </row>
    <row r="8" spans="1:17">
      <c r="A8" t="s">
        <v>106</v>
      </c>
      <c r="B8" t="s">
        <v>107</v>
      </c>
    </row>
    <row r="10" spans="1:17">
      <c r="A10" t="s">
        <v>108</v>
      </c>
    </row>
    <row r="11" spans="1:17">
      <c r="A11" t="s">
        <v>109</v>
      </c>
      <c r="B11" t="s">
        <v>110</v>
      </c>
      <c r="C11" t="s">
        <v>9</v>
      </c>
      <c r="D11" t="s">
        <v>1</v>
      </c>
      <c r="E11" t="s">
        <v>111</v>
      </c>
      <c r="F11" t="s">
        <v>112</v>
      </c>
      <c r="G11" t="s">
        <v>113</v>
      </c>
      <c r="H11" t="s">
        <v>84</v>
      </c>
      <c r="I11" t="s">
        <v>114</v>
      </c>
      <c r="J11" t="s">
        <v>2</v>
      </c>
      <c r="K11" t="s">
        <v>85</v>
      </c>
      <c r="L11" t="s">
        <v>115</v>
      </c>
      <c r="M11" t="s">
        <v>116</v>
      </c>
      <c r="N11" t="s">
        <v>30</v>
      </c>
      <c r="O11" t="s">
        <v>117</v>
      </c>
      <c r="P11" t="s">
        <v>118</v>
      </c>
      <c r="Q11" t="s">
        <v>119</v>
      </c>
    </row>
    <row r="12" spans="1:17">
      <c r="A12" t="s">
        <v>120</v>
      </c>
      <c r="B12" t="s">
        <v>0</v>
      </c>
      <c r="C12" t="s">
        <v>86</v>
      </c>
      <c r="D12" t="s">
        <v>133</v>
      </c>
      <c r="E12" s="5">
        <v>45818.755787037036</v>
      </c>
      <c r="F12">
        <v>1</v>
      </c>
      <c r="G12">
        <v>1</v>
      </c>
      <c r="H12" t="s">
        <v>0</v>
      </c>
      <c r="I12">
        <v>0.82389999999999997</v>
      </c>
      <c r="J12">
        <v>0.84240000000000004</v>
      </c>
      <c r="K12">
        <v>0</v>
      </c>
      <c r="L12">
        <v>2.6159999999999999E-2</v>
      </c>
      <c r="M12">
        <v>3.11</v>
      </c>
      <c r="N12">
        <v>0</v>
      </c>
      <c r="O12">
        <v>0</v>
      </c>
      <c r="P12">
        <v>100</v>
      </c>
      <c r="Q12">
        <v>1</v>
      </c>
    </row>
    <row r="13" spans="1:17">
      <c r="A13" t="s">
        <v>120</v>
      </c>
      <c r="B13" t="s">
        <v>0</v>
      </c>
      <c r="C13" t="s">
        <v>86</v>
      </c>
      <c r="D13" t="s">
        <v>133</v>
      </c>
      <c r="E13" s="5">
        <v>45818.757326388892</v>
      </c>
      <c r="F13">
        <v>1</v>
      </c>
      <c r="G13">
        <v>2</v>
      </c>
      <c r="H13" t="s">
        <v>0</v>
      </c>
      <c r="I13">
        <v>0.8609</v>
      </c>
      <c r="J13">
        <v>0.84240000000000004</v>
      </c>
      <c r="K13">
        <v>0</v>
      </c>
      <c r="L13">
        <v>2.6159999999999999E-2</v>
      </c>
      <c r="M13">
        <v>3.11</v>
      </c>
      <c r="N13">
        <v>0</v>
      </c>
      <c r="O13">
        <v>0</v>
      </c>
      <c r="P13">
        <v>100</v>
      </c>
      <c r="Q13">
        <v>1</v>
      </c>
    </row>
    <row r="14" spans="1:17">
      <c r="A14" t="s">
        <v>120</v>
      </c>
      <c r="B14" t="s">
        <v>0</v>
      </c>
      <c r="C14" t="s">
        <v>87</v>
      </c>
      <c r="D14" t="s">
        <v>133</v>
      </c>
      <c r="E14" s="5">
        <v>45818.764016203706</v>
      </c>
      <c r="F14">
        <v>1</v>
      </c>
      <c r="G14">
        <v>1</v>
      </c>
      <c r="H14" t="s">
        <v>0</v>
      </c>
      <c r="I14">
        <v>0.4395</v>
      </c>
      <c r="J14">
        <v>0.4632</v>
      </c>
      <c r="K14">
        <v>0</v>
      </c>
      <c r="L14">
        <v>3.3450000000000001E-2</v>
      </c>
      <c r="M14">
        <v>7.22</v>
      </c>
      <c r="N14">
        <v>1</v>
      </c>
      <c r="O14">
        <v>0</v>
      </c>
      <c r="P14">
        <v>100</v>
      </c>
      <c r="Q14">
        <v>1</v>
      </c>
    </row>
    <row r="15" spans="1:17">
      <c r="A15" t="s">
        <v>120</v>
      </c>
      <c r="B15" t="s">
        <v>0</v>
      </c>
      <c r="C15" t="s">
        <v>87</v>
      </c>
      <c r="D15" t="s">
        <v>133</v>
      </c>
      <c r="E15" s="5">
        <v>45818.765486111108</v>
      </c>
      <c r="F15">
        <v>1</v>
      </c>
      <c r="G15">
        <v>2</v>
      </c>
      <c r="H15" t="s">
        <v>0</v>
      </c>
      <c r="I15">
        <v>0.48680000000000001</v>
      </c>
      <c r="J15">
        <v>0.4632</v>
      </c>
      <c r="K15">
        <v>0</v>
      </c>
      <c r="L15">
        <v>3.3450000000000001E-2</v>
      </c>
      <c r="M15">
        <v>7.22</v>
      </c>
      <c r="N15">
        <v>1</v>
      </c>
      <c r="O15">
        <v>0</v>
      </c>
      <c r="P15">
        <v>100</v>
      </c>
      <c r="Q15">
        <v>1</v>
      </c>
    </row>
    <row r="16" spans="1:17">
      <c r="A16" t="s">
        <v>121</v>
      </c>
      <c r="B16" t="s">
        <v>0</v>
      </c>
      <c r="C16" t="s">
        <v>134</v>
      </c>
      <c r="D16" t="s">
        <v>134</v>
      </c>
      <c r="E16" s="5">
        <v>45818.773726851854</v>
      </c>
      <c r="F16">
        <v>1</v>
      </c>
      <c r="G16">
        <v>1</v>
      </c>
      <c r="H16" t="s">
        <v>0</v>
      </c>
      <c r="I16">
        <v>138</v>
      </c>
      <c r="J16">
        <v>137.30000000000001</v>
      </c>
      <c r="K16">
        <v>20</v>
      </c>
      <c r="L16">
        <v>0.9899</v>
      </c>
      <c r="M16">
        <v>0.72</v>
      </c>
      <c r="N16">
        <v>2</v>
      </c>
      <c r="O16">
        <v>0</v>
      </c>
      <c r="P16">
        <v>100</v>
      </c>
      <c r="Q16">
        <v>1</v>
      </c>
    </row>
    <row r="17" spans="1:17">
      <c r="A17" t="s">
        <v>121</v>
      </c>
      <c r="B17" t="s">
        <v>0</v>
      </c>
      <c r="C17" t="s">
        <v>134</v>
      </c>
      <c r="D17" t="s">
        <v>134</v>
      </c>
      <c r="E17" s="5">
        <v>45818.776296296295</v>
      </c>
      <c r="F17">
        <v>1</v>
      </c>
      <c r="G17">
        <v>2</v>
      </c>
      <c r="H17" t="s">
        <v>0</v>
      </c>
      <c r="I17">
        <v>136.6</v>
      </c>
      <c r="J17">
        <v>137.30000000000001</v>
      </c>
      <c r="K17">
        <v>20</v>
      </c>
      <c r="L17">
        <v>0.9899</v>
      </c>
      <c r="M17">
        <v>0.72</v>
      </c>
      <c r="N17">
        <v>2</v>
      </c>
      <c r="O17">
        <v>0</v>
      </c>
      <c r="P17">
        <v>100</v>
      </c>
      <c r="Q17">
        <v>1</v>
      </c>
    </row>
    <row r="18" spans="1:17">
      <c r="A18" t="s">
        <v>121</v>
      </c>
      <c r="B18" t="s">
        <v>0</v>
      </c>
      <c r="C18" t="s">
        <v>134</v>
      </c>
      <c r="D18" t="s">
        <v>134</v>
      </c>
      <c r="E18" s="5">
        <v>45818.784062500003</v>
      </c>
      <c r="F18">
        <v>2</v>
      </c>
      <c r="G18">
        <v>1</v>
      </c>
      <c r="H18" t="s">
        <v>0</v>
      </c>
      <c r="I18">
        <v>69.53</v>
      </c>
      <c r="J18">
        <v>69.06</v>
      </c>
      <c r="K18">
        <v>10</v>
      </c>
      <c r="L18">
        <v>0.65759999999999996</v>
      </c>
      <c r="M18">
        <v>0.95</v>
      </c>
      <c r="N18">
        <v>3</v>
      </c>
      <c r="O18">
        <v>0</v>
      </c>
      <c r="P18">
        <v>100</v>
      </c>
      <c r="Q18">
        <v>1</v>
      </c>
    </row>
    <row r="19" spans="1:17">
      <c r="A19" t="s">
        <v>121</v>
      </c>
      <c r="B19" t="s">
        <v>0</v>
      </c>
      <c r="C19" t="s">
        <v>134</v>
      </c>
      <c r="D19" t="s">
        <v>134</v>
      </c>
      <c r="E19" s="5">
        <v>45818.78633101852</v>
      </c>
      <c r="F19">
        <v>2</v>
      </c>
      <c r="G19">
        <v>2</v>
      </c>
      <c r="H19" t="s">
        <v>0</v>
      </c>
      <c r="I19">
        <v>68.599999999999994</v>
      </c>
      <c r="J19">
        <v>69.06</v>
      </c>
      <c r="K19">
        <v>10</v>
      </c>
      <c r="L19">
        <v>0.65759999999999996</v>
      </c>
      <c r="M19">
        <v>0.95</v>
      </c>
      <c r="N19">
        <v>3</v>
      </c>
      <c r="O19">
        <v>0</v>
      </c>
      <c r="P19">
        <v>100</v>
      </c>
      <c r="Q19">
        <v>1</v>
      </c>
    </row>
    <row r="20" spans="1:17">
      <c r="A20" t="s">
        <v>121</v>
      </c>
      <c r="B20" t="s">
        <v>0</v>
      </c>
      <c r="C20" t="s">
        <v>134</v>
      </c>
      <c r="D20" t="s">
        <v>134</v>
      </c>
      <c r="E20" s="5">
        <v>45818.793888888889</v>
      </c>
      <c r="F20">
        <v>3</v>
      </c>
      <c r="G20">
        <v>1</v>
      </c>
      <c r="H20" t="s">
        <v>0</v>
      </c>
      <c r="I20">
        <v>35.56</v>
      </c>
      <c r="J20">
        <v>34.200000000000003</v>
      </c>
      <c r="K20">
        <v>5</v>
      </c>
      <c r="L20">
        <v>0.2051</v>
      </c>
      <c r="M20">
        <v>0.6</v>
      </c>
      <c r="N20">
        <v>4</v>
      </c>
      <c r="O20">
        <v>1</v>
      </c>
      <c r="P20">
        <v>100</v>
      </c>
      <c r="Q20">
        <v>1</v>
      </c>
    </row>
    <row r="21" spans="1:17">
      <c r="A21" t="s">
        <v>121</v>
      </c>
      <c r="B21" t="s">
        <v>0</v>
      </c>
      <c r="C21" t="s">
        <v>134</v>
      </c>
      <c r="D21" t="s">
        <v>134</v>
      </c>
      <c r="E21" s="5">
        <v>45818.795925925922</v>
      </c>
      <c r="F21">
        <v>3</v>
      </c>
      <c r="G21">
        <v>2</v>
      </c>
      <c r="H21" t="s">
        <v>0</v>
      </c>
      <c r="I21">
        <v>34.35</v>
      </c>
      <c r="J21">
        <v>34.200000000000003</v>
      </c>
      <c r="K21">
        <v>5</v>
      </c>
      <c r="L21">
        <v>0.2051</v>
      </c>
      <c r="M21">
        <v>0.6</v>
      </c>
      <c r="N21">
        <v>4</v>
      </c>
      <c r="O21">
        <v>0</v>
      </c>
      <c r="P21">
        <v>100</v>
      </c>
      <c r="Q21">
        <v>1</v>
      </c>
    </row>
    <row r="22" spans="1:17">
      <c r="A22" t="s">
        <v>121</v>
      </c>
      <c r="B22" t="s">
        <v>0</v>
      </c>
      <c r="C22" t="s">
        <v>134</v>
      </c>
      <c r="D22" t="s">
        <v>134</v>
      </c>
      <c r="E22" s="5">
        <v>45818.797766203701</v>
      </c>
      <c r="F22">
        <v>3</v>
      </c>
      <c r="G22">
        <v>3</v>
      </c>
      <c r="H22" t="s">
        <v>0</v>
      </c>
      <c r="I22">
        <v>34.06</v>
      </c>
      <c r="J22">
        <v>34.200000000000003</v>
      </c>
      <c r="K22">
        <v>5</v>
      </c>
      <c r="L22">
        <v>0.2051</v>
      </c>
      <c r="M22">
        <v>0.6</v>
      </c>
      <c r="N22">
        <v>4</v>
      </c>
      <c r="O22">
        <v>0</v>
      </c>
      <c r="P22">
        <v>100</v>
      </c>
      <c r="Q22">
        <v>1</v>
      </c>
    </row>
    <row r="23" spans="1:17">
      <c r="A23" t="s">
        <v>121</v>
      </c>
      <c r="B23" t="s">
        <v>0</v>
      </c>
      <c r="C23" t="s">
        <v>134</v>
      </c>
      <c r="D23" t="s">
        <v>134</v>
      </c>
      <c r="E23" s="5">
        <v>45818.804722222223</v>
      </c>
      <c r="F23">
        <v>4</v>
      </c>
      <c r="G23">
        <v>1</v>
      </c>
      <c r="H23" t="s">
        <v>0</v>
      </c>
      <c r="I23">
        <v>14.35</v>
      </c>
      <c r="J23">
        <v>14.19</v>
      </c>
      <c r="K23">
        <v>2</v>
      </c>
      <c r="L23">
        <v>0.23330000000000001</v>
      </c>
      <c r="M23">
        <v>1.65</v>
      </c>
      <c r="N23">
        <v>5</v>
      </c>
      <c r="O23">
        <v>0</v>
      </c>
      <c r="P23">
        <v>100</v>
      </c>
      <c r="Q23">
        <v>1</v>
      </c>
    </row>
    <row r="24" spans="1:17">
      <c r="A24" t="s">
        <v>121</v>
      </c>
      <c r="B24" t="s">
        <v>0</v>
      </c>
      <c r="C24" t="s">
        <v>134</v>
      </c>
      <c r="D24" t="s">
        <v>134</v>
      </c>
      <c r="E24" s="5">
        <v>45818.806481481479</v>
      </c>
      <c r="F24">
        <v>4</v>
      </c>
      <c r="G24">
        <v>2</v>
      </c>
      <c r="H24" t="s">
        <v>0</v>
      </c>
      <c r="I24">
        <v>14.02</v>
      </c>
      <c r="J24">
        <v>14.19</v>
      </c>
      <c r="K24">
        <v>2</v>
      </c>
      <c r="L24">
        <v>0.23330000000000001</v>
      </c>
      <c r="M24">
        <v>1.65</v>
      </c>
      <c r="N24">
        <v>5</v>
      </c>
      <c r="O24">
        <v>0</v>
      </c>
      <c r="P24">
        <v>100</v>
      </c>
      <c r="Q24">
        <v>1</v>
      </c>
    </row>
    <row r="25" spans="1:17">
      <c r="A25" t="s">
        <v>121</v>
      </c>
      <c r="B25" t="s">
        <v>0</v>
      </c>
      <c r="C25" t="s">
        <v>134</v>
      </c>
      <c r="D25" t="s">
        <v>134</v>
      </c>
      <c r="E25" s="5">
        <v>45818.813414351855</v>
      </c>
      <c r="F25">
        <v>5</v>
      </c>
      <c r="G25">
        <v>1</v>
      </c>
      <c r="H25" t="s">
        <v>0</v>
      </c>
      <c r="I25">
        <v>7.5309999999999997</v>
      </c>
      <c r="J25">
        <v>7.1790000000000003</v>
      </c>
      <c r="K25">
        <v>1</v>
      </c>
      <c r="L25">
        <v>4.3839999999999997E-2</v>
      </c>
      <c r="M25">
        <v>0.61</v>
      </c>
      <c r="N25">
        <v>6</v>
      </c>
      <c r="O25">
        <v>1</v>
      </c>
      <c r="P25">
        <v>100</v>
      </c>
      <c r="Q25">
        <v>1</v>
      </c>
    </row>
    <row r="26" spans="1:17">
      <c r="A26" t="s">
        <v>121</v>
      </c>
      <c r="B26" t="s">
        <v>0</v>
      </c>
      <c r="C26" t="s">
        <v>134</v>
      </c>
      <c r="D26" t="s">
        <v>134</v>
      </c>
      <c r="E26" s="5">
        <v>45818.815081018518</v>
      </c>
      <c r="F26">
        <v>5</v>
      </c>
      <c r="G26">
        <v>2</v>
      </c>
      <c r="H26" t="s">
        <v>0</v>
      </c>
      <c r="I26">
        <v>7.1479999999999997</v>
      </c>
      <c r="J26">
        <v>7.1790000000000003</v>
      </c>
      <c r="K26">
        <v>1</v>
      </c>
      <c r="L26">
        <v>4.3839999999999997E-2</v>
      </c>
      <c r="M26">
        <v>0.61</v>
      </c>
      <c r="N26">
        <v>6</v>
      </c>
      <c r="O26">
        <v>0</v>
      </c>
      <c r="P26">
        <v>100</v>
      </c>
      <c r="Q26">
        <v>1</v>
      </c>
    </row>
    <row r="27" spans="1:17">
      <c r="A27" t="s">
        <v>121</v>
      </c>
      <c r="B27" t="s">
        <v>0</v>
      </c>
      <c r="C27" t="s">
        <v>134</v>
      </c>
      <c r="D27" t="s">
        <v>134</v>
      </c>
      <c r="E27" s="5">
        <v>45818.816701388889</v>
      </c>
      <c r="F27">
        <v>5</v>
      </c>
      <c r="G27">
        <v>3</v>
      </c>
      <c r="H27" t="s">
        <v>0</v>
      </c>
      <c r="I27">
        <v>7.21</v>
      </c>
      <c r="J27">
        <v>7.1790000000000003</v>
      </c>
      <c r="K27">
        <v>1</v>
      </c>
      <c r="L27">
        <v>4.3839999999999997E-2</v>
      </c>
      <c r="M27">
        <v>0.61</v>
      </c>
      <c r="N27">
        <v>6</v>
      </c>
      <c r="O27">
        <v>0</v>
      </c>
      <c r="P27">
        <v>100</v>
      </c>
      <c r="Q27">
        <v>1</v>
      </c>
    </row>
    <row r="28" spans="1:17">
      <c r="A28" t="s">
        <v>121</v>
      </c>
      <c r="B28" t="s">
        <v>0</v>
      </c>
      <c r="C28" t="s">
        <v>134</v>
      </c>
      <c r="D28" t="s">
        <v>134</v>
      </c>
      <c r="E28" s="5">
        <v>45818.823564814818</v>
      </c>
      <c r="F28">
        <v>6</v>
      </c>
      <c r="G28">
        <v>1</v>
      </c>
      <c r="H28" t="s">
        <v>0</v>
      </c>
      <c r="I28">
        <v>3.976</v>
      </c>
      <c r="J28">
        <v>3.66</v>
      </c>
      <c r="K28">
        <v>0.5</v>
      </c>
      <c r="L28">
        <v>0.111</v>
      </c>
      <c r="M28">
        <v>3.03</v>
      </c>
      <c r="N28">
        <v>7</v>
      </c>
      <c r="O28">
        <v>1</v>
      </c>
      <c r="P28">
        <v>100</v>
      </c>
      <c r="Q28">
        <v>1</v>
      </c>
    </row>
    <row r="29" spans="1:17">
      <c r="A29" t="s">
        <v>121</v>
      </c>
      <c r="B29" t="s">
        <v>0</v>
      </c>
      <c r="C29" t="s">
        <v>134</v>
      </c>
      <c r="D29" t="s">
        <v>134</v>
      </c>
      <c r="E29" s="5">
        <v>45818.825138888889</v>
      </c>
      <c r="F29">
        <v>6</v>
      </c>
      <c r="G29">
        <v>2</v>
      </c>
      <c r="H29" t="s">
        <v>0</v>
      </c>
      <c r="I29">
        <v>3.581</v>
      </c>
      <c r="J29">
        <v>3.66</v>
      </c>
      <c r="K29">
        <v>0.5</v>
      </c>
      <c r="L29">
        <v>0.111</v>
      </c>
      <c r="M29">
        <v>3.03</v>
      </c>
      <c r="N29">
        <v>7</v>
      </c>
      <c r="O29">
        <v>0</v>
      </c>
      <c r="P29">
        <v>100</v>
      </c>
      <c r="Q29">
        <v>1</v>
      </c>
    </row>
    <row r="30" spans="1:17">
      <c r="A30" t="s">
        <v>121</v>
      </c>
      <c r="B30" t="s">
        <v>0</v>
      </c>
      <c r="C30" t="s">
        <v>134</v>
      </c>
      <c r="D30" t="s">
        <v>134</v>
      </c>
      <c r="E30" s="5">
        <v>45818.826736111114</v>
      </c>
      <c r="F30">
        <v>6</v>
      </c>
      <c r="G30">
        <v>3</v>
      </c>
      <c r="H30" t="s">
        <v>0</v>
      </c>
      <c r="I30">
        <v>3.738</v>
      </c>
      <c r="J30">
        <v>3.66</v>
      </c>
      <c r="K30">
        <v>0.5</v>
      </c>
      <c r="L30">
        <v>0.111</v>
      </c>
      <c r="M30">
        <v>3.03</v>
      </c>
      <c r="N30">
        <v>7</v>
      </c>
      <c r="O30">
        <v>0</v>
      </c>
      <c r="P30">
        <v>100</v>
      </c>
      <c r="Q30">
        <v>1</v>
      </c>
    </row>
    <row r="31" spans="1:17">
      <c r="A31" t="s">
        <v>121</v>
      </c>
      <c r="B31" t="s">
        <v>0</v>
      </c>
      <c r="C31" t="s">
        <v>134</v>
      </c>
      <c r="D31" t="s">
        <v>134</v>
      </c>
      <c r="E31" s="5">
        <v>45818.833391203705</v>
      </c>
      <c r="F31">
        <v>7</v>
      </c>
      <c r="G31">
        <v>1</v>
      </c>
      <c r="H31" t="s">
        <v>0</v>
      </c>
      <c r="I31">
        <v>0.2326</v>
      </c>
      <c r="J31">
        <v>0.3301</v>
      </c>
      <c r="K31">
        <v>0</v>
      </c>
      <c r="L31">
        <v>0.13789999999999999</v>
      </c>
      <c r="M31">
        <v>41.77</v>
      </c>
      <c r="N31">
        <v>8</v>
      </c>
      <c r="O31">
        <v>0</v>
      </c>
      <c r="P31">
        <v>100</v>
      </c>
      <c r="Q31">
        <v>1</v>
      </c>
    </row>
    <row r="32" spans="1:17">
      <c r="A32" t="s">
        <v>121</v>
      </c>
      <c r="B32" t="s">
        <v>0</v>
      </c>
      <c r="C32" t="s">
        <v>134</v>
      </c>
      <c r="D32" t="s">
        <v>134</v>
      </c>
      <c r="E32" s="5">
        <v>45818.834861111114</v>
      </c>
      <c r="F32">
        <v>7</v>
      </c>
      <c r="G32">
        <v>2</v>
      </c>
      <c r="H32" t="s">
        <v>0</v>
      </c>
      <c r="I32">
        <v>0</v>
      </c>
      <c r="J32">
        <v>0.3301</v>
      </c>
      <c r="K32">
        <v>0</v>
      </c>
      <c r="L32">
        <v>0.13789999999999999</v>
      </c>
      <c r="M32">
        <v>41.77</v>
      </c>
      <c r="N32">
        <v>8</v>
      </c>
      <c r="O32">
        <v>1</v>
      </c>
      <c r="P32">
        <v>100</v>
      </c>
      <c r="Q32">
        <v>1</v>
      </c>
    </row>
    <row r="33" spans="1:17">
      <c r="A33" t="s">
        <v>121</v>
      </c>
      <c r="B33" t="s">
        <v>0</v>
      </c>
      <c r="C33" t="s">
        <v>134</v>
      </c>
      <c r="D33" t="s">
        <v>134</v>
      </c>
      <c r="E33" s="5">
        <v>45818.836331018516</v>
      </c>
      <c r="F33">
        <v>7</v>
      </c>
      <c r="G33">
        <v>3</v>
      </c>
      <c r="H33" t="s">
        <v>0</v>
      </c>
      <c r="I33">
        <v>0.42759999999999998</v>
      </c>
      <c r="J33">
        <v>0.3301</v>
      </c>
      <c r="K33">
        <v>0</v>
      </c>
      <c r="L33">
        <v>0.13789999999999999</v>
      </c>
      <c r="M33">
        <v>41.77</v>
      </c>
      <c r="N33">
        <v>8</v>
      </c>
      <c r="O33">
        <v>0</v>
      </c>
      <c r="P33">
        <v>100</v>
      </c>
      <c r="Q33">
        <v>1</v>
      </c>
    </row>
    <row r="34" spans="1:17">
      <c r="A34" t="s">
        <v>120</v>
      </c>
      <c r="B34" t="s">
        <v>0</v>
      </c>
      <c r="C34" t="s">
        <v>135</v>
      </c>
      <c r="D34" t="s">
        <v>133</v>
      </c>
      <c r="E34" s="5">
        <v>45818.844143518516</v>
      </c>
      <c r="F34">
        <v>1</v>
      </c>
      <c r="G34">
        <v>1</v>
      </c>
      <c r="H34" t="s">
        <v>0</v>
      </c>
      <c r="I34">
        <v>91.04</v>
      </c>
      <c r="J34">
        <v>88.43</v>
      </c>
      <c r="K34">
        <v>0</v>
      </c>
      <c r="L34">
        <v>0.4667</v>
      </c>
      <c r="M34">
        <v>0.53</v>
      </c>
      <c r="N34">
        <v>19</v>
      </c>
      <c r="O34">
        <v>1</v>
      </c>
      <c r="P34">
        <v>100</v>
      </c>
      <c r="Q34">
        <v>1</v>
      </c>
    </row>
    <row r="35" spans="1:17">
      <c r="A35" t="s">
        <v>120</v>
      </c>
      <c r="B35" t="s">
        <v>0</v>
      </c>
      <c r="C35" t="s">
        <v>135</v>
      </c>
      <c r="D35" t="s">
        <v>133</v>
      </c>
      <c r="E35" s="5">
        <v>45818.846388888887</v>
      </c>
      <c r="F35">
        <v>1</v>
      </c>
      <c r="G35">
        <v>2</v>
      </c>
      <c r="H35" t="s">
        <v>0</v>
      </c>
      <c r="I35">
        <v>88.1</v>
      </c>
      <c r="J35">
        <v>88.43</v>
      </c>
      <c r="K35">
        <v>0</v>
      </c>
      <c r="L35">
        <v>0.4667</v>
      </c>
      <c r="M35">
        <v>0.53</v>
      </c>
      <c r="N35">
        <v>19</v>
      </c>
      <c r="O35">
        <v>0</v>
      </c>
      <c r="P35">
        <v>100</v>
      </c>
      <c r="Q35">
        <v>1</v>
      </c>
    </row>
    <row r="36" spans="1:17">
      <c r="A36" t="s">
        <v>120</v>
      </c>
      <c r="B36" t="s">
        <v>0</v>
      </c>
      <c r="C36" t="s">
        <v>135</v>
      </c>
      <c r="D36" t="s">
        <v>133</v>
      </c>
      <c r="E36" s="5">
        <v>45818.848668981482</v>
      </c>
      <c r="F36">
        <v>1</v>
      </c>
      <c r="G36">
        <v>3</v>
      </c>
      <c r="H36" t="s">
        <v>0</v>
      </c>
      <c r="I36">
        <v>88.76</v>
      </c>
      <c r="J36">
        <v>88.43</v>
      </c>
      <c r="K36">
        <v>0</v>
      </c>
      <c r="L36">
        <v>0.4667</v>
      </c>
      <c r="M36">
        <v>0.53</v>
      </c>
      <c r="N36">
        <v>19</v>
      </c>
      <c r="O36">
        <v>0</v>
      </c>
      <c r="P36">
        <v>100</v>
      </c>
      <c r="Q36">
        <v>1</v>
      </c>
    </row>
    <row r="37" spans="1:17">
      <c r="A37" t="s">
        <v>120</v>
      </c>
      <c r="B37" t="s">
        <v>0</v>
      </c>
      <c r="C37" t="s">
        <v>136</v>
      </c>
      <c r="D37" t="s">
        <v>133</v>
      </c>
      <c r="E37" s="5">
        <v>45818.856377314813</v>
      </c>
      <c r="F37">
        <v>1</v>
      </c>
      <c r="G37">
        <v>1</v>
      </c>
      <c r="H37" t="s">
        <v>0</v>
      </c>
      <c r="I37">
        <v>59.34</v>
      </c>
      <c r="J37">
        <v>56.79</v>
      </c>
      <c r="K37">
        <v>0</v>
      </c>
      <c r="L37">
        <v>0.36770000000000003</v>
      </c>
      <c r="M37">
        <v>0.65</v>
      </c>
      <c r="N37">
        <v>20</v>
      </c>
      <c r="O37">
        <v>1</v>
      </c>
      <c r="P37">
        <v>100</v>
      </c>
      <c r="Q37">
        <v>1</v>
      </c>
    </row>
    <row r="38" spans="1:17">
      <c r="A38" t="s">
        <v>120</v>
      </c>
      <c r="B38" t="s">
        <v>0</v>
      </c>
      <c r="C38" t="s">
        <v>136</v>
      </c>
      <c r="D38" t="s">
        <v>133</v>
      </c>
      <c r="E38" s="5">
        <v>45818.858599537038</v>
      </c>
      <c r="F38">
        <v>1</v>
      </c>
      <c r="G38">
        <v>2</v>
      </c>
      <c r="H38" t="s">
        <v>0</v>
      </c>
      <c r="I38">
        <v>57.05</v>
      </c>
      <c r="J38">
        <v>56.79</v>
      </c>
      <c r="K38">
        <v>0</v>
      </c>
      <c r="L38">
        <v>0.36770000000000003</v>
      </c>
      <c r="M38">
        <v>0.65</v>
      </c>
      <c r="N38">
        <v>20</v>
      </c>
      <c r="O38">
        <v>0</v>
      </c>
      <c r="P38">
        <v>100</v>
      </c>
      <c r="Q38">
        <v>1</v>
      </c>
    </row>
    <row r="39" spans="1:17">
      <c r="A39" t="s">
        <v>120</v>
      </c>
      <c r="B39" t="s">
        <v>0</v>
      </c>
      <c r="C39" t="s">
        <v>136</v>
      </c>
      <c r="D39" t="s">
        <v>133</v>
      </c>
      <c r="E39" s="5">
        <v>45818.860937500001</v>
      </c>
      <c r="F39">
        <v>1</v>
      </c>
      <c r="G39">
        <v>3</v>
      </c>
      <c r="H39" t="s">
        <v>0</v>
      </c>
      <c r="I39">
        <v>56.53</v>
      </c>
      <c r="J39">
        <v>56.79</v>
      </c>
      <c r="K39">
        <v>0</v>
      </c>
      <c r="L39">
        <v>0.36770000000000003</v>
      </c>
      <c r="M39">
        <v>0.65</v>
      </c>
      <c r="N39">
        <v>20</v>
      </c>
      <c r="O39">
        <v>0</v>
      </c>
      <c r="P39">
        <v>100</v>
      </c>
      <c r="Q39">
        <v>1</v>
      </c>
    </row>
    <row r="40" spans="1:17">
      <c r="A40" t="s">
        <v>120</v>
      </c>
      <c r="B40" t="s">
        <v>0</v>
      </c>
      <c r="C40" t="s">
        <v>137</v>
      </c>
      <c r="D40" t="s">
        <v>133</v>
      </c>
      <c r="E40" s="5">
        <v>45818.868425925924</v>
      </c>
      <c r="F40">
        <v>1</v>
      </c>
      <c r="G40">
        <v>1</v>
      </c>
      <c r="H40" t="s">
        <v>0</v>
      </c>
      <c r="I40">
        <v>40.6</v>
      </c>
      <c r="J40">
        <v>38.200000000000003</v>
      </c>
      <c r="K40">
        <v>0</v>
      </c>
      <c r="L40">
        <v>0.15559999999999999</v>
      </c>
      <c r="M40">
        <v>0.41</v>
      </c>
      <c r="N40">
        <v>21</v>
      </c>
      <c r="O40">
        <v>1</v>
      </c>
      <c r="P40">
        <v>100</v>
      </c>
      <c r="Q40">
        <v>1</v>
      </c>
    </row>
    <row r="41" spans="1:17">
      <c r="A41" t="s">
        <v>120</v>
      </c>
      <c r="B41" t="s">
        <v>0</v>
      </c>
      <c r="C41" t="s">
        <v>137</v>
      </c>
      <c r="D41" t="s">
        <v>133</v>
      </c>
      <c r="E41" s="5">
        <v>45818.870740740742</v>
      </c>
      <c r="F41">
        <v>1</v>
      </c>
      <c r="G41">
        <v>2</v>
      </c>
      <c r="H41" t="s">
        <v>0</v>
      </c>
      <c r="I41">
        <v>38.31</v>
      </c>
      <c r="J41">
        <v>38.200000000000003</v>
      </c>
      <c r="K41">
        <v>0</v>
      </c>
      <c r="L41">
        <v>0.15559999999999999</v>
      </c>
      <c r="M41">
        <v>0.41</v>
      </c>
      <c r="N41">
        <v>21</v>
      </c>
      <c r="O41">
        <v>0</v>
      </c>
      <c r="P41">
        <v>100</v>
      </c>
      <c r="Q41">
        <v>1</v>
      </c>
    </row>
    <row r="42" spans="1:17">
      <c r="A42" t="s">
        <v>120</v>
      </c>
      <c r="B42" t="s">
        <v>0</v>
      </c>
      <c r="C42" t="s">
        <v>137</v>
      </c>
      <c r="D42" t="s">
        <v>133</v>
      </c>
      <c r="E42" s="5">
        <v>45818.872916666667</v>
      </c>
      <c r="F42">
        <v>1</v>
      </c>
      <c r="G42">
        <v>3</v>
      </c>
      <c r="H42" t="s">
        <v>0</v>
      </c>
      <c r="I42">
        <v>38.090000000000003</v>
      </c>
      <c r="J42">
        <v>38.200000000000003</v>
      </c>
      <c r="K42">
        <v>0</v>
      </c>
      <c r="L42">
        <v>0.15559999999999999</v>
      </c>
      <c r="M42">
        <v>0.41</v>
      </c>
      <c r="N42">
        <v>21</v>
      </c>
      <c r="O42">
        <v>0</v>
      </c>
      <c r="P42">
        <v>100</v>
      </c>
      <c r="Q42">
        <v>1</v>
      </c>
    </row>
    <row r="43" spans="1:17">
      <c r="A43" t="s">
        <v>120</v>
      </c>
      <c r="B43" t="s">
        <v>0</v>
      </c>
      <c r="C43" t="s">
        <v>138</v>
      </c>
      <c r="D43" t="s">
        <v>133</v>
      </c>
      <c r="E43" s="5">
        <v>45818.880254629628</v>
      </c>
      <c r="F43">
        <v>1</v>
      </c>
      <c r="G43">
        <v>1</v>
      </c>
      <c r="H43" t="s">
        <v>0</v>
      </c>
      <c r="I43">
        <v>32.97</v>
      </c>
      <c r="J43">
        <v>30.55</v>
      </c>
      <c r="K43">
        <v>0</v>
      </c>
      <c r="L43">
        <v>0.81320000000000003</v>
      </c>
      <c r="M43">
        <v>2.66</v>
      </c>
      <c r="N43">
        <v>22</v>
      </c>
      <c r="O43">
        <v>1</v>
      </c>
      <c r="P43">
        <v>100</v>
      </c>
      <c r="Q43">
        <v>1</v>
      </c>
    </row>
    <row r="44" spans="1:17">
      <c r="A44" t="s">
        <v>120</v>
      </c>
      <c r="B44" t="s">
        <v>0</v>
      </c>
      <c r="C44" t="s">
        <v>138</v>
      </c>
      <c r="D44" t="s">
        <v>133</v>
      </c>
      <c r="E44" s="5">
        <v>45818.882384259261</v>
      </c>
      <c r="F44">
        <v>1</v>
      </c>
      <c r="G44">
        <v>2</v>
      </c>
      <c r="H44" t="s">
        <v>0</v>
      </c>
      <c r="I44">
        <v>31.12</v>
      </c>
      <c r="J44">
        <v>30.55</v>
      </c>
      <c r="K44">
        <v>0</v>
      </c>
      <c r="L44">
        <v>0.81320000000000003</v>
      </c>
      <c r="M44">
        <v>2.66</v>
      </c>
      <c r="N44">
        <v>22</v>
      </c>
      <c r="O44">
        <v>0</v>
      </c>
      <c r="P44">
        <v>100</v>
      </c>
      <c r="Q44">
        <v>1</v>
      </c>
    </row>
    <row r="45" spans="1:17">
      <c r="A45" t="s">
        <v>120</v>
      </c>
      <c r="B45" t="s">
        <v>0</v>
      </c>
      <c r="C45" t="s">
        <v>138</v>
      </c>
      <c r="D45" t="s">
        <v>133</v>
      </c>
      <c r="E45" s="5">
        <v>45818.884386574071</v>
      </c>
      <c r="F45">
        <v>1</v>
      </c>
      <c r="G45">
        <v>3</v>
      </c>
      <c r="H45" t="s">
        <v>0</v>
      </c>
      <c r="I45">
        <v>29.97</v>
      </c>
      <c r="J45">
        <v>30.55</v>
      </c>
      <c r="K45">
        <v>0</v>
      </c>
      <c r="L45">
        <v>0.81320000000000003</v>
      </c>
      <c r="M45">
        <v>2.66</v>
      </c>
      <c r="N45">
        <v>22</v>
      </c>
      <c r="O45">
        <v>0</v>
      </c>
      <c r="P45">
        <v>100</v>
      </c>
      <c r="Q45">
        <v>1</v>
      </c>
    </row>
    <row r="46" spans="1:17">
      <c r="A46" t="s">
        <v>120</v>
      </c>
      <c r="B46" t="s">
        <v>0</v>
      </c>
      <c r="C46" t="s">
        <v>139</v>
      </c>
      <c r="D46" t="s">
        <v>133</v>
      </c>
      <c r="E46" s="5">
        <v>45818.891793981478</v>
      </c>
      <c r="F46">
        <v>1</v>
      </c>
      <c r="G46">
        <v>1</v>
      </c>
      <c r="H46" t="s">
        <v>0</v>
      </c>
      <c r="I46">
        <v>30.71</v>
      </c>
      <c r="J46">
        <v>28.28</v>
      </c>
      <c r="K46">
        <v>0</v>
      </c>
      <c r="L46">
        <v>0.58689999999999998</v>
      </c>
      <c r="M46">
        <v>2.08</v>
      </c>
      <c r="N46">
        <v>23</v>
      </c>
      <c r="O46">
        <v>1</v>
      </c>
      <c r="P46">
        <v>100</v>
      </c>
      <c r="Q46">
        <v>1</v>
      </c>
    </row>
    <row r="47" spans="1:17">
      <c r="A47" t="s">
        <v>120</v>
      </c>
      <c r="B47" t="s">
        <v>0</v>
      </c>
      <c r="C47" t="s">
        <v>139</v>
      </c>
      <c r="D47" t="s">
        <v>133</v>
      </c>
      <c r="E47" s="5">
        <v>45818.893958333334</v>
      </c>
      <c r="F47">
        <v>1</v>
      </c>
      <c r="G47">
        <v>2</v>
      </c>
      <c r="H47" t="s">
        <v>0</v>
      </c>
      <c r="I47">
        <v>28.69</v>
      </c>
      <c r="J47">
        <v>28.28</v>
      </c>
      <c r="K47">
        <v>0</v>
      </c>
      <c r="L47">
        <v>0.58689999999999998</v>
      </c>
      <c r="M47">
        <v>2.08</v>
      </c>
      <c r="N47">
        <v>23</v>
      </c>
      <c r="O47">
        <v>0</v>
      </c>
      <c r="P47">
        <v>100</v>
      </c>
      <c r="Q47">
        <v>1</v>
      </c>
    </row>
    <row r="48" spans="1:17">
      <c r="A48" t="s">
        <v>120</v>
      </c>
      <c r="B48" t="s">
        <v>0</v>
      </c>
      <c r="C48" t="s">
        <v>139</v>
      </c>
      <c r="D48" t="s">
        <v>133</v>
      </c>
      <c r="E48" s="5">
        <v>45818.896064814813</v>
      </c>
      <c r="F48">
        <v>1</v>
      </c>
      <c r="G48">
        <v>3</v>
      </c>
      <c r="H48" t="s">
        <v>0</v>
      </c>
      <c r="I48">
        <v>27.86</v>
      </c>
      <c r="J48">
        <v>28.28</v>
      </c>
      <c r="K48">
        <v>0</v>
      </c>
      <c r="L48">
        <v>0.58689999999999998</v>
      </c>
      <c r="M48">
        <v>2.08</v>
      </c>
      <c r="N48">
        <v>23</v>
      </c>
      <c r="O48">
        <v>0</v>
      </c>
      <c r="P48">
        <v>100</v>
      </c>
      <c r="Q48">
        <v>1</v>
      </c>
    </row>
    <row r="49" spans="1:17">
      <c r="A49" t="s">
        <v>120</v>
      </c>
      <c r="B49" t="s">
        <v>0</v>
      </c>
      <c r="C49" t="s">
        <v>140</v>
      </c>
      <c r="D49" t="s">
        <v>133</v>
      </c>
      <c r="E49" s="5">
        <v>45818.903368055559</v>
      </c>
      <c r="F49">
        <v>1</v>
      </c>
      <c r="G49">
        <v>1</v>
      </c>
      <c r="H49" t="s">
        <v>0</v>
      </c>
      <c r="I49">
        <v>26.73</v>
      </c>
      <c r="J49">
        <v>23.82</v>
      </c>
      <c r="K49">
        <v>0</v>
      </c>
      <c r="L49">
        <v>0.11310000000000001</v>
      </c>
      <c r="M49">
        <v>0.47</v>
      </c>
      <c r="N49">
        <v>24</v>
      </c>
      <c r="O49">
        <v>1</v>
      </c>
      <c r="P49">
        <v>100</v>
      </c>
      <c r="Q49">
        <v>1</v>
      </c>
    </row>
    <row r="50" spans="1:17">
      <c r="A50" t="s">
        <v>120</v>
      </c>
      <c r="B50" t="s">
        <v>0</v>
      </c>
      <c r="C50" t="s">
        <v>140</v>
      </c>
      <c r="D50" t="s">
        <v>133</v>
      </c>
      <c r="E50" s="5">
        <v>45818.905300925922</v>
      </c>
      <c r="F50">
        <v>1</v>
      </c>
      <c r="G50">
        <v>2</v>
      </c>
      <c r="H50" t="s">
        <v>0</v>
      </c>
      <c r="I50">
        <v>23.9</v>
      </c>
      <c r="J50">
        <v>23.82</v>
      </c>
      <c r="K50">
        <v>0</v>
      </c>
      <c r="L50">
        <v>0.11310000000000001</v>
      </c>
      <c r="M50">
        <v>0.47</v>
      </c>
      <c r="N50">
        <v>24</v>
      </c>
      <c r="O50">
        <v>0</v>
      </c>
      <c r="P50">
        <v>100</v>
      </c>
      <c r="Q50">
        <v>1</v>
      </c>
    </row>
    <row r="51" spans="1:17">
      <c r="A51" t="s">
        <v>120</v>
      </c>
      <c r="B51" t="s">
        <v>0</v>
      </c>
      <c r="C51" t="s">
        <v>140</v>
      </c>
      <c r="D51" t="s">
        <v>133</v>
      </c>
      <c r="E51" s="5">
        <v>45818.907407407409</v>
      </c>
      <c r="F51">
        <v>1</v>
      </c>
      <c r="G51">
        <v>3</v>
      </c>
      <c r="H51" t="s">
        <v>0</v>
      </c>
      <c r="I51">
        <v>23.74</v>
      </c>
      <c r="J51">
        <v>23.82</v>
      </c>
      <c r="K51">
        <v>0</v>
      </c>
      <c r="L51">
        <v>0.11310000000000001</v>
      </c>
      <c r="M51">
        <v>0.47</v>
      </c>
      <c r="N51">
        <v>24</v>
      </c>
      <c r="O51">
        <v>0</v>
      </c>
      <c r="P51">
        <v>100</v>
      </c>
      <c r="Q51">
        <v>1</v>
      </c>
    </row>
    <row r="52" spans="1:17">
      <c r="A52" t="s">
        <v>120</v>
      </c>
      <c r="B52" t="s">
        <v>0</v>
      </c>
      <c r="C52" t="s">
        <v>141</v>
      </c>
      <c r="D52" t="s">
        <v>133</v>
      </c>
      <c r="E52" s="5">
        <v>45818.915196759262</v>
      </c>
      <c r="F52">
        <v>1</v>
      </c>
      <c r="G52">
        <v>1</v>
      </c>
      <c r="H52" t="s">
        <v>0</v>
      </c>
      <c r="I52">
        <v>72.790000000000006</v>
      </c>
      <c r="J52">
        <v>69.55</v>
      </c>
      <c r="K52">
        <v>0</v>
      </c>
      <c r="L52">
        <v>0.23330000000000001</v>
      </c>
      <c r="M52">
        <v>0.34</v>
      </c>
      <c r="N52">
        <v>9</v>
      </c>
      <c r="O52">
        <v>1</v>
      </c>
      <c r="P52">
        <v>100</v>
      </c>
      <c r="Q52">
        <v>1</v>
      </c>
    </row>
    <row r="53" spans="1:17">
      <c r="A53" t="s">
        <v>120</v>
      </c>
      <c r="B53" t="s">
        <v>0</v>
      </c>
      <c r="C53" t="s">
        <v>141</v>
      </c>
      <c r="D53" t="s">
        <v>133</v>
      </c>
      <c r="E53" s="5">
        <v>45818.917430555557</v>
      </c>
      <c r="F53">
        <v>1</v>
      </c>
      <c r="G53">
        <v>2</v>
      </c>
      <c r="H53" t="s">
        <v>0</v>
      </c>
      <c r="I53">
        <v>69.709999999999994</v>
      </c>
      <c r="J53">
        <v>69.55</v>
      </c>
      <c r="K53">
        <v>0</v>
      </c>
      <c r="L53">
        <v>0.23330000000000001</v>
      </c>
      <c r="M53">
        <v>0.34</v>
      </c>
      <c r="N53">
        <v>9</v>
      </c>
      <c r="O53">
        <v>0</v>
      </c>
      <c r="P53">
        <v>100</v>
      </c>
      <c r="Q53">
        <v>1</v>
      </c>
    </row>
    <row r="54" spans="1:17">
      <c r="A54" t="s">
        <v>120</v>
      </c>
      <c r="B54" t="s">
        <v>0</v>
      </c>
      <c r="C54" t="s">
        <v>141</v>
      </c>
      <c r="D54" t="s">
        <v>133</v>
      </c>
      <c r="E54" s="5">
        <v>45818.919560185182</v>
      </c>
      <c r="F54">
        <v>1</v>
      </c>
      <c r="G54">
        <v>3</v>
      </c>
      <c r="H54" t="s">
        <v>0</v>
      </c>
      <c r="I54">
        <v>69.38</v>
      </c>
      <c r="J54">
        <v>69.55</v>
      </c>
      <c r="K54">
        <v>0</v>
      </c>
      <c r="L54">
        <v>0.23330000000000001</v>
      </c>
      <c r="M54">
        <v>0.34</v>
      </c>
      <c r="N54">
        <v>9</v>
      </c>
      <c r="O54">
        <v>0</v>
      </c>
      <c r="P54">
        <v>100</v>
      </c>
      <c r="Q54">
        <v>1</v>
      </c>
    </row>
    <row r="55" spans="1:17">
      <c r="A55" t="s">
        <v>120</v>
      </c>
      <c r="B55" t="s">
        <v>0</v>
      </c>
      <c r="C55" t="s">
        <v>251</v>
      </c>
      <c r="D55" t="s">
        <v>133</v>
      </c>
      <c r="E55" s="5">
        <v>45818.926249999997</v>
      </c>
      <c r="F55">
        <v>1</v>
      </c>
      <c r="G55">
        <v>1</v>
      </c>
      <c r="H55" t="s">
        <v>0</v>
      </c>
      <c r="I55">
        <v>0.62490000000000001</v>
      </c>
      <c r="J55">
        <v>0.58609999999999995</v>
      </c>
      <c r="K55">
        <v>0</v>
      </c>
      <c r="L55">
        <v>5.4800000000000001E-2</v>
      </c>
      <c r="M55">
        <v>9.35</v>
      </c>
      <c r="N55">
        <v>14</v>
      </c>
      <c r="O55">
        <v>0</v>
      </c>
      <c r="P55">
        <v>100</v>
      </c>
      <c r="Q55">
        <v>1</v>
      </c>
    </row>
    <row r="56" spans="1:17">
      <c r="A56" t="s">
        <v>120</v>
      </c>
      <c r="B56" t="s">
        <v>0</v>
      </c>
      <c r="C56" t="s">
        <v>251</v>
      </c>
      <c r="D56" t="s">
        <v>133</v>
      </c>
      <c r="E56" s="5">
        <v>45818.927731481483</v>
      </c>
      <c r="F56">
        <v>1</v>
      </c>
      <c r="G56">
        <v>2</v>
      </c>
      <c r="H56" t="s">
        <v>0</v>
      </c>
      <c r="I56">
        <v>0.5474</v>
      </c>
      <c r="J56">
        <v>0.58609999999999995</v>
      </c>
      <c r="K56">
        <v>0</v>
      </c>
      <c r="L56">
        <v>5.4800000000000001E-2</v>
      </c>
      <c r="M56">
        <v>9.35</v>
      </c>
      <c r="N56">
        <v>14</v>
      </c>
      <c r="O56">
        <v>0</v>
      </c>
      <c r="P56">
        <v>100</v>
      </c>
      <c r="Q56">
        <v>1</v>
      </c>
    </row>
    <row r="57" spans="1:17">
      <c r="A57" t="s">
        <v>120</v>
      </c>
      <c r="B57" t="s">
        <v>0</v>
      </c>
      <c r="C57" t="s">
        <v>252</v>
      </c>
      <c r="D57" t="s">
        <v>133</v>
      </c>
      <c r="E57" s="5">
        <v>45818.935243055559</v>
      </c>
      <c r="F57">
        <v>1</v>
      </c>
      <c r="G57">
        <v>1</v>
      </c>
      <c r="H57" t="s">
        <v>0</v>
      </c>
      <c r="I57">
        <v>22.96</v>
      </c>
      <c r="J57">
        <v>22.76</v>
      </c>
      <c r="K57">
        <v>0</v>
      </c>
      <c r="L57">
        <v>0.28989999999999999</v>
      </c>
      <c r="M57">
        <v>1.27</v>
      </c>
      <c r="N57">
        <v>43</v>
      </c>
      <c r="O57">
        <v>0</v>
      </c>
      <c r="P57">
        <v>100</v>
      </c>
      <c r="Q57">
        <v>1</v>
      </c>
    </row>
    <row r="58" spans="1:17">
      <c r="A58" t="s">
        <v>120</v>
      </c>
      <c r="B58" t="s">
        <v>0</v>
      </c>
      <c r="C58" t="s">
        <v>252</v>
      </c>
      <c r="D58" t="s">
        <v>133</v>
      </c>
      <c r="E58" s="5">
        <v>45818.937268518515</v>
      </c>
      <c r="F58">
        <v>1</v>
      </c>
      <c r="G58">
        <v>2</v>
      </c>
      <c r="H58" t="s">
        <v>0</v>
      </c>
      <c r="I58">
        <v>22.55</v>
      </c>
      <c r="J58">
        <v>22.76</v>
      </c>
      <c r="K58">
        <v>0</v>
      </c>
      <c r="L58">
        <v>0.28989999999999999</v>
      </c>
      <c r="M58">
        <v>1.27</v>
      </c>
      <c r="N58">
        <v>43</v>
      </c>
      <c r="O58">
        <v>0</v>
      </c>
      <c r="P58">
        <v>100</v>
      </c>
      <c r="Q58">
        <v>1</v>
      </c>
    </row>
    <row r="59" spans="1:17">
      <c r="A59" t="s">
        <v>120</v>
      </c>
      <c r="B59" t="s">
        <v>0</v>
      </c>
      <c r="C59" t="s">
        <v>253</v>
      </c>
      <c r="D59" t="s">
        <v>133</v>
      </c>
      <c r="E59" s="5">
        <v>45818.945497685185</v>
      </c>
      <c r="F59">
        <v>1</v>
      </c>
      <c r="G59">
        <v>1</v>
      </c>
      <c r="H59" t="s">
        <v>0</v>
      </c>
      <c r="I59">
        <v>94.55</v>
      </c>
      <c r="J59">
        <v>91.35</v>
      </c>
      <c r="K59">
        <v>0</v>
      </c>
      <c r="L59">
        <v>0.11310000000000001</v>
      </c>
      <c r="M59">
        <v>0.12</v>
      </c>
      <c r="N59">
        <v>44</v>
      </c>
      <c r="O59">
        <v>1</v>
      </c>
      <c r="P59">
        <v>100</v>
      </c>
      <c r="Q59">
        <v>1</v>
      </c>
    </row>
    <row r="60" spans="1:17">
      <c r="A60" t="s">
        <v>120</v>
      </c>
      <c r="B60" t="s">
        <v>0</v>
      </c>
      <c r="C60" t="s">
        <v>253</v>
      </c>
      <c r="D60" t="s">
        <v>133</v>
      </c>
      <c r="E60" s="5">
        <v>45818.948136574072</v>
      </c>
      <c r="F60">
        <v>1</v>
      </c>
      <c r="G60">
        <v>2</v>
      </c>
      <c r="H60" t="s">
        <v>0</v>
      </c>
      <c r="I60">
        <v>91.43</v>
      </c>
      <c r="J60">
        <v>91.35</v>
      </c>
      <c r="K60">
        <v>0</v>
      </c>
      <c r="L60">
        <v>0.11310000000000001</v>
      </c>
      <c r="M60">
        <v>0.12</v>
      </c>
      <c r="N60">
        <v>44</v>
      </c>
      <c r="O60">
        <v>0</v>
      </c>
      <c r="P60">
        <v>100</v>
      </c>
      <c r="Q60">
        <v>1</v>
      </c>
    </row>
    <row r="61" spans="1:17">
      <c r="A61" t="s">
        <v>120</v>
      </c>
      <c r="B61" t="s">
        <v>0</v>
      </c>
      <c r="C61" t="s">
        <v>253</v>
      </c>
      <c r="D61" t="s">
        <v>133</v>
      </c>
      <c r="E61" s="5">
        <v>45818.950578703705</v>
      </c>
      <c r="F61">
        <v>1</v>
      </c>
      <c r="G61">
        <v>3</v>
      </c>
      <c r="H61" t="s">
        <v>0</v>
      </c>
      <c r="I61">
        <v>91.27</v>
      </c>
      <c r="J61">
        <v>91.35</v>
      </c>
      <c r="K61">
        <v>0</v>
      </c>
      <c r="L61">
        <v>0.11310000000000001</v>
      </c>
      <c r="M61">
        <v>0.12</v>
      </c>
      <c r="N61">
        <v>44</v>
      </c>
      <c r="O61">
        <v>0</v>
      </c>
      <c r="P61">
        <v>100</v>
      </c>
      <c r="Q61">
        <v>1</v>
      </c>
    </row>
    <row r="62" spans="1:17">
      <c r="A62" t="s">
        <v>120</v>
      </c>
      <c r="B62" t="s">
        <v>0</v>
      </c>
      <c r="C62" t="s">
        <v>88</v>
      </c>
      <c r="D62" t="s">
        <v>133</v>
      </c>
      <c r="E62" s="5">
        <v>45818.95857638889</v>
      </c>
      <c r="F62">
        <v>1</v>
      </c>
      <c r="G62">
        <v>1</v>
      </c>
      <c r="H62" t="s">
        <v>0</v>
      </c>
      <c r="I62">
        <v>86.13</v>
      </c>
      <c r="J62">
        <v>82</v>
      </c>
      <c r="K62">
        <v>0</v>
      </c>
      <c r="L62">
        <v>0.43130000000000002</v>
      </c>
      <c r="M62">
        <v>0.53</v>
      </c>
      <c r="N62">
        <v>25</v>
      </c>
      <c r="O62">
        <v>1</v>
      </c>
      <c r="P62">
        <v>100</v>
      </c>
      <c r="Q62">
        <v>1</v>
      </c>
    </row>
    <row r="63" spans="1:17">
      <c r="A63" t="s">
        <v>120</v>
      </c>
      <c r="B63" t="s">
        <v>0</v>
      </c>
      <c r="C63" t="s">
        <v>88</v>
      </c>
      <c r="D63" t="s">
        <v>133</v>
      </c>
      <c r="E63" s="5">
        <v>45818.960879629631</v>
      </c>
      <c r="F63">
        <v>1</v>
      </c>
      <c r="G63">
        <v>2</v>
      </c>
      <c r="H63" t="s">
        <v>0</v>
      </c>
      <c r="I63">
        <v>81.7</v>
      </c>
      <c r="J63">
        <v>82</v>
      </c>
      <c r="K63">
        <v>0</v>
      </c>
      <c r="L63">
        <v>0.43130000000000002</v>
      </c>
      <c r="M63">
        <v>0.53</v>
      </c>
      <c r="N63">
        <v>25</v>
      </c>
      <c r="O63">
        <v>0</v>
      </c>
      <c r="P63">
        <v>100</v>
      </c>
      <c r="Q63">
        <v>1</v>
      </c>
    </row>
    <row r="64" spans="1:17">
      <c r="A64" t="s">
        <v>120</v>
      </c>
      <c r="B64" t="s">
        <v>0</v>
      </c>
      <c r="C64" t="s">
        <v>88</v>
      </c>
      <c r="D64" t="s">
        <v>133</v>
      </c>
      <c r="E64" s="5">
        <v>45818.963194444441</v>
      </c>
      <c r="F64">
        <v>1</v>
      </c>
      <c r="G64">
        <v>3</v>
      </c>
      <c r="H64" t="s">
        <v>0</v>
      </c>
      <c r="I64">
        <v>82.31</v>
      </c>
      <c r="J64">
        <v>82</v>
      </c>
      <c r="K64">
        <v>0</v>
      </c>
      <c r="L64">
        <v>0.43130000000000002</v>
      </c>
      <c r="M64">
        <v>0.53</v>
      </c>
      <c r="N64">
        <v>25</v>
      </c>
      <c r="O64">
        <v>0</v>
      </c>
      <c r="P64">
        <v>100</v>
      </c>
      <c r="Q64">
        <v>1</v>
      </c>
    </row>
    <row r="65" spans="1:17">
      <c r="A65" t="s">
        <v>120</v>
      </c>
      <c r="B65" t="s">
        <v>0</v>
      </c>
      <c r="C65" t="s">
        <v>89</v>
      </c>
      <c r="D65" t="s">
        <v>133</v>
      </c>
      <c r="E65" s="5">
        <v>45818.971006944441</v>
      </c>
      <c r="F65">
        <v>1</v>
      </c>
      <c r="G65">
        <v>1</v>
      </c>
      <c r="H65" t="s">
        <v>0</v>
      </c>
      <c r="I65">
        <v>51.25</v>
      </c>
      <c r="J65">
        <v>47.88</v>
      </c>
      <c r="K65">
        <v>0</v>
      </c>
      <c r="L65">
        <v>0.33229999999999998</v>
      </c>
      <c r="M65">
        <v>0.69</v>
      </c>
      <c r="N65">
        <v>26</v>
      </c>
      <c r="O65">
        <v>1</v>
      </c>
      <c r="P65">
        <v>100</v>
      </c>
      <c r="Q65">
        <v>1</v>
      </c>
    </row>
    <row r="66" spans="1:17">
      <c r="A66" t="s">
        <v>120</v>
      </c>
      <c r="B66" t="s">
        <v>0</v>
      </c>
      <c r="C66" t="s">
        <v>89</v>
      </c>
      <c r="D66" t="s">
        <v>133</v>
      </c>
      <c r="E66" s="5">
        <v>45818.973333333335</v>
      </c>
      <c r="F66">
        <v>1</v>
      </c>
      <c r="G66">
        <v>2</v>
      </c>
      <c r="H66" t="s">
        <v>0</v>
      </c>
      <c r="I66">
        <v>48.11</v>
      </c>
      <c r="J66">
        <v>47.88</v>
      </c>
      <c r="K66">
        <v>0</v>
      </c>
      <c r="L66">
        <v>0.33229999999999998</v>
      </c>
      <c r="M66">
        <v>0.69</v>
      </c>
      <c r="N66">
        <v>26</v>
      </c>
      <c r="O66">
        <v>0</v>
      </c>
      <c r="P66">
        <v>100</v>
      </c>
      <c r="Q66">
        <v>1</v>
      </c>
    </row>
    <row r="67" spans="1:17">
      <c r="A67" t="s">
        <v>120</v>
      </c>
      <c r="B67" t="s">
        <v>0</v>
      </c>
      <c r="C67" t="s">
        <v>89</v>
      </c>
      <c r="D67" t="s">
        <v>133</v>
      </c>
      <c r="E67" s="5">
        <v>45818.975555555553</v>
      </c>
      <c r="F67">
        <v>1</v>
      </c>
      <c r="G67">
        <v>3</v>
      </c>
      <c r="H67" t="s">
        <v>0</v>
      </c>
      <c r="I67">
        <v>47.64</v>
      </c>
      <c r="J67">
        <v>47.88</v>
      </c>
      <c r="K67">
        <v>0</v>
      </c>
      <c r="L67">
        <v>0.33229999999999998</v>
      </c>
      <c r="M67">
        <v>0.69</v>
      </c>
      <c r="N67">
        <v>26</v>
      </c>
      <c r="O67">
        <v>0</v>
      </c>
      <c r="P67">
        <v>100</v>
      </c>
      <c r="Q67">
        <v>1</v>
      </c>
    </row>
    <row r="68" spans="1:17">
      <c r="A68" t="s">
        <v>120</v>
      </c>
      <c r="B68" t="s">
        <v>0</v>
      </c>
      <c r="C68" t="s">
        <v>90</v>
      </c>
      <c r="D68" t="s">
        <v>133</v>
      </c>
      <c r="E68" s="5">
        <v>45818.98300925926</v>
      </c>
      <c r="F68">
        <v>1</v>
      </c>
      <c r="G68">
        <v>1</v>
      </c>
      <c r="H68" t="s">
        <v>0</v>
      </c>
      <c r="I68">
        <v>29.91</v>
      </c>
      <c r="J68">
        <v>28.41</v>
      </c>
      <c r="K68">
        <v>0</v>
      </c>
      <c r="L68">
        <v>0.1414</v>
      </c>
      <c r="M68">
        <v>0.5</v>
      </c>
      <c r="N68">
        <v>27</v>
      </c>
      <c r="O68">
        <v>1</v>
      </c>
      <c r="P68">
        <v>100</v>
      </c>
      <c r="Q68">
        <v>1</v>
      </c>
    </row>
    <row r="69" spans="1:17">
      <c r="A69" t="s">
        <v>120</v>
      </c>
      <c r="B69" t="s">
        <v>0</v>
      </c>
      <c r="C69" t="s">
        <v>90</v>
      </c>
      <c r="D69" t="s">
        <v>133</v>
      </c>
      <c r="E69" s="5">
        <v>45818.985069444447</v>
      </c>
      <c r="F69">
        <v>1</v>
      </c>
      <c r="G69">
        <v>2</v>
      </c>
      <c r="H69" t="s">
        <v>0</v>
      </c>
      <c r="I69">
        <v>28.31</v>
      </c>
      <c r="J69">
        <v>28.41</v>
      </c>
      <c r="K69">
        <v>0</v>
      </c>
      <c r="L69">
        <v>0.1414</v>
      </c>
      <c r="M69">
        <v>0.5</v>
      </c>
      <c r="N69">
        <v>27</v>
      </c>
      <c r="O69">
        <v>0</v>
      </c>
      <c r="P69">
        <v>100</v>
      </c>
      <c r="Q69">
        <v>1</v>
      </c>
    </row>
    <row r="70" spans="1:17">
      <c r="A70" t="s">
        <v>120</v>
      </c>
      <c r="B70" t="s">
        <v>0</v>
      </c>
      <c r="C70" t="s">
        <v>90</v>
      </c>
      <c r="D70" t="s">
        <v>133</v>
      </c>
      <c r="E70" s="5">
        <v>45818.987326388888</v>
      </c>
      <c r="F70">
        <v>1</v>
      </c>
      <c r="G70">
        <v>3</v>
      </c>
      <c r="H70" t="s">
        <v>0</v>
      </c>
      <c r="I70">
        <v>28.51</v>
      </c>
      <c r="J70">
        <v>28.41</v>
      </c>
      <c r="K70">
        <v>0</v>
      </c>
      <c r="L70">
        <v>0.1414</v>
      </c>
      <c r="M70">
        <v>0.5</v>
      </c>
      <c r="N70">
        <v>27</v>
      </c>
      <c r="O70">
        <v>0</v>
      </c>
      <c r="P70">
        <v>100</v>
      </c>
      <c r="Q70">
        <v>1</v>
      </c>
    </row>
    <row r="71" spans="1:17">
      <c r="A71" t="s">
        <v>120</v>
      </c>
      <c r="B71" t="s">
        <v>0</v>
      </c>
      <c r="C71" t="s">
        <v>91</v>
      </c>
      <c r="D71" t="s">
        <v>133</v>
      </c>
      <c r="E71" s="5">
        <v>45818.994571759256</v>
      </c>
      <c r="F71">
        <v>1</v>
      </c>
      <c r="G71">
        <v>1</v>
      </c>
      <c r="H71" t="s">
        <v>0</v>
      </c>
      <c r="I71">
        <v>22.81</v>
      </c>
      <c r="J71">
        <v>20.77</v>
      </c>
      <c r="K71">
        <v>0</v>
      </c>
      <c r="L71">
        <v>3.5360000000000003E-2</v>
      </c>
      <c r="M71">
        <v>0.17</v>
      </c>
      <c r="N71">
        <v>28</v>
      </c>
      <c r="O71">
        <v>1</v>
      </c>
      <c r="P71">
        <v>100</v>
      </c>
      <c r="Q71">
        <v>1</v>
      </c>
    </row>
    <row r="72" spans="1:17">
      <c r="A72" t="s">
        <v>120</v>
      </c>
      <c r="B72" t="s">
        <v>0</v>
      </c>
      <c r="C72" t="s">
        <v>91</v>
      </c>
      <c r="D72" t="s">
        <v>133</v>
      </c>
      <c r="E72" s="5">
        <v>45818.996481481481</v>
      </c>
      <c r="F72">
        <v>1</v>
      </c>
      <c r="G72">
        <v>2</v>
      </c>
      <c r="H72" t="s">
        <v>0</v>
      </c>
      <c r="I72">
        <v>20.79</v>
      </c>
      <c r="J72">
        <v>20.77</v>
      </c>
      <c r="K72">
        <v>0</v>
      </c>
      <c r="L72">
        <v>3.5360000000000003E-2</v>
      </c>
      <c r="M72">
        <v>0.17</v>
      </c>
      <c r="N72">
        <v>28</v>
      </c>
      <c r="O72">
        <v>0</v>
      </c>
      <c r="P72">
        <v>100</v>
      </c>
      <c r="Q72">
        <v>1</v>
      </c>
    </row>
    <row r="73" spans="1:17">
      <c r="A73" t="s">
        <v>120</v>
      </c>
      <c r="B73" t="s">
        <v>0</v>
      </c>
      <c r="C73" t="s">
        <v>91</v>
      </c>
      <c r="D73" t="s">
        <v>133</v>
      </c>
      <c r="E73" s="5">
        <v>45818.998472222222</v>
      </c>
      <c r="F73">
        <v>1</v>
      </c>
      <c r="G73">
        <v>3</v>
      </c>
      <c r="H73" t="s">
        <v>0</v>
      </c>
      <c r="I73">
        <v>20.74</v>
      </c>
      <c r="J73">
        <v>20.77</v>
      </c>
      <c r="K73">
        <v>0</v>
      </c>
      <c r="L73">
        <v>3.5360000000000003E-2</v>
      </c>
      <c r="M73">
        <v>0.17</v>
      </c>
      <c r="N73">
        <v>28</v>
      </c>
      <c r="O73">
        <v>0</v>
      </c>
      <c r="P73">
        <v>100</v>
      </c>
      <c r="Q73">
        <v>1</v>
      </c>
    </row>
    <row r="74" spans="1:17">
      <c r="A74" t="s">
        <v>120</v>
      </c>
      <c r="B74" t="s">
        <v>0</v>
      </c>
      <c r="C74" t="s">
        <v>92</v>
      </c>
      <c r="D74" t="s">
        <v>133</v>
      </c>
      <c r="E74" s="5">
        <v>45819.005706018521</v>
      </c>
      <c r="F74">
        <v>1</v>
      </c>
      <c r="G74">
        <v>1</v>
      </c>
      <c r="H74" t="s">
        <v>0</v>
      </c>
      <c r="I74">
        <v>18.72</v>
      </c>
      <c r="J74">
        <v>16.89</v>
      </c>
      <c r="K74">
        <v>0</v>
      </c>
      <c r="L74">
        <v>0.4667</v>
      </c>
      <c r="M74">
        <v>2.76</v>
      </c>
      <c r="N74">
        <v>29</v>
      </c>
      <c r="O74">
        <v>1</v>
      </c>
      <c r="P74">
        <v>100</v>
      </c>
      <c r="Q74">
        <v>1</v>
      </c>
    </row>
    <row r="75" spans="1:17">
      <c r="A75" t="s">
        <v>120</v>
      </c>
      <c r="B75" t="s">
        <v>0</v>
      </c>
      <c r="C75" t="s">
        <v>92</v>
      </c>
      <c r="D75" t="s">
        <v>133</v>
      </c>
      <c r="E75" s="5">
        <v>45819.007708333331</v>
      </c>
      <c r="F75">
        <v>1</v>
      </c>
      <c r="G75">
        <v>2</v>
      </c>
      <c r="H75" t="s">
        <v>0</v>
      </c>
      <c r="I75">
        <v>17.22</v>
      </c>
      <c r="J75">
        <v>16.89</v>
      </c>
      <c r="K75">
        <v>0</v>
      </c>
      <c r="L75">
        <v>0.4667</v>
      </c>
      <c r="M75">
        <v>2.76</v>
      </c>
      <c r="N75">
        <v>29</v>
      </c>
      <c r="O75">
        <v>0</v>
      </c>
      <c r="P75">
        <v>100</v>
      </c>
      <c r="Q75">
        <v>1</v>
      </c>
    </row>
    <row r="76" spans="1:17">
      <c r="A76" t="s">
        <v>120</v>
      </c>
      <c r="B76" t="s">
        <v>0</v>
      </c>
      <c r="C76" t="s">
        <v>92</v>
      </c>
      <c r="D76" t="s">
        <v>133</v>
      </c>
      <c r="E76" s="5">
        <v>45819.009664351855</v>
      </c>
      <c r="F76">
        <v>1</v>
      </c>
      <c r="G76">
        <v>3</v>
      </c>
      <c r="H76" t="s">
        <v>0</v>
      </c>
      <c r="I76">
        <v>16.559999999999999</v>
      </c>
      <c r="J76">
        <v>16.89</v>
      </c>
      <c r="K76">
        <v>0</v>
      </c>
      <c r="L76">
        <v>0.4667</v>
      </c>
      <c r="M76">
        <v>2.76</v>
      </c>
      <c r="N76">
        <v>29</v>
      </c>
      <c r="O76">
        <v>0</v>
      </c>
      <c r="P76">
        <v>100</v>
      </c>
      <c r="Q76">
        <v>1</v>
      </c>
    </row>
    <row r="77" spans="1:17">
      <c r="A77" t="s">
        <v>120</v>
      </c>
      <c r="B77" t="s">
        <v>0</v>
      </c>
      <c r="C77" t="s">
        <v>93</v>
      </c>
      <c r="D77" t="s">
        <v>133</v>
      </c>
      <c r="E77" s="5">
        <v>45819.016712962963</v>
      </c>
      <c r="F77">
        <v>1</v>
      </c>
      <c r="G77">
        <v>1</v>
      </c>
      <c r="H77" t="s">
        <v>0</v>
      </c>
      <c r="I77">
        <v>15.46</v>
      </c>
      <c r="J77">
        <v>13.77</v>
      </c>
      <c r="K77">
        <v>0</v>
      </c>
      <c r="L77">
        <v>2.828E-2</v>
      </c>
      <c r="M77">
        <v>0.21</v>
      </c>
      <c r="N77">
        <v>30</v>
      </c>
      <c r="O77">
        <v>1</v>
      </c>
      <c r="P77">
        <v>100</v>
      </c>
      <c r="Q77">
        <v>1</v>
      </c>
    </row>
    <row r="78" spans="1:17">
      <c r="A78" t="s">
        <v>120</v>
      </c>
      <c r="B78" t="s">
        <v>0</v>
      </c>
      <c r="C78" t="s">
        <v>93</v>
      </c>
      <c r="D78" t="s">
        <v>133</v>
      </c>
      <c r="E78" s="5">
        <v>45819.018587962964</v>
      </c>
      <c r="F78">
        <v>1</v>
      </c>
      <c r="G78">
        <v>2</v>
      </c>
      <c r="H78" t="s">
        <v>0</v>
      </c>
      <c r="I78">
        <v>13.75</v>
      </c>
      <c r="J78">
        <v>13.77</v>
      </c>
      <c r="K78">
        <v>0</v>
      </c>
      <c r="L78">
        <v>2.828E-2</v>
      </c>
      <c r="M78">
        <v>0.21</v>
      </c>
      <c r="N78">
        <v>30</v>
      </c>
      <c r="O78">
        <v>0</v>
      </c>
      <c r="P78">
        <v>100</v>
      </c>
      <c r="Q78">
        <v>1</v>
      </c>
    </row>
    <row r="79" spans="1:17">
      <c r="A79" t="s">
        <v>120</v>
      </c>
      <c r="B79" t="s">
        <v>0</v>
      </c>
      <c r="C79" t="s">
        <v>93</v>
      </c>
      <c r="D79" t="s">
        <v>133</v>
      </c>
      <c r="E79" s="5">
        <v>45819.020520833335</v>
      </c>
      <c r="F79">
        <v>1</v>
      </c>
      <c r="G79">
        <v>3</v>
      </c>
      <c r="H79" t="s">
        <v>0</v>
      </c>
      <c r="I79">
        <v>13.79</v>
      </c>
      <c r="J79">
        <v>13.77</v>
      </c>
      <c r="K79">
        <v>0</v>
      </c>
      <c r="L79">
        <v>2.828E-2</v>
      </c>
      <c r="M79">
        <v>0.21</v>
      </c>
      <c r="N79">
        <v>30</v>
      </c>
      <c r="O79">
        <v>0</v>
      </c>
      <c r="P79">
        <v>100</v>
      </c>
      <c r="Q79">
        <v>1</v>
      </c>
    </row>
    <row r="80" spans="1:17">
      <c r="A80" t="s">
        <v>120</v>
      </c>
      <c r="B80" t="s">
        <v>0</v>
      </c>
      <c r="C80" t="s">
        <v>142</v>
      </c>
      <c r="D80" t="s">
        <v>133</v>
      </c>
      <c r="E80" s="5">
        <v>45819.028425925928</v>
      </c>
      <c r="F80">
        <v>1</v>
      </c>
      <c r="G80">
        <v>1</v>
      </c>
      <c r="H80" t="s">
        <v>0</v>
      </c>
      <c r="I80">
        <v>74.540000000000006</v>
      </c>
      <c r="J80">
        <v>71.44</v>
      </c>
      <c r="K80">
        <v>0</v>
      </c>
      <c r="L80">
        <v>9.1920000000000002E-2</v>
      </c>
      <c r="M80">
        <v>0.13</v>
      </c>
      <c r="N80">
        <v>10</v>
      </c>
      <c r="O80">
        <v>1</v>
      </c>
      <c r="P80">
        <v>100</v>
      </c>
      <c r="Q80">
        <v>1</v>
      </c>
    </row>
    <row r="81" spans="1:17">
      <c r="A81" t="s">
        <v>120</v>
      </c>
      <c r="B81" t="s">
        <v>0</v>
      </c>
      <c r="C81" t="s">
        <v>142</v>
      </c>
      <c r="D81" t="s">
        <v>133</v>
      </c>
      <c r="E81" s="5">
        <v>45819.030648148146</v>
      </c>
      <c r="F81">
        <v>1</v>
      </c>
      <c r="G81">
        <v>2</v>
      </c>
      <c r="H81" t="s">
        <v>0</v>
      </c>
      <c r="I81">
        <v>71.37</v>
      </c>
      <c r="J81">
        <v>71.44</v>
      </c>
      <c r="K81">
        <v>0</v>
      </c>
      <c r="L81">
        <v>9.1920000000000002E-2</v>
      </c>
      <c r="M81">
        <v>0.13</v>
      </c>
      <c r="N81">
        <v>10</v>
      </c>
      <c r="O81">
        <v>0</v>
      </c>
      <c r="P81">
        <v>100</v>
      </c>
      <c r="Q81">
        <v>1</v>
      </c>
    </row>
    <row r="82" spans="1:17">
      <c r="A82" t="s">
        <v>120</v>
      </c>
      <c r="B82" t="s">
        <v>0</v>
      </c>
      <c r="C82" t="s">
        <v>142</v>
      </c>
      <c r="D82" t="s">
        <v>133</v>
      </c>
      <c r="E82" s="5">
        <v>45819.032870370371</v>
      </c>
      <c r="F82">
        <v>1</v>
      </c>
      <c r="G82">
        <v>3</v>
      </c>
      <c r="H82" t="s">
        <v>0</v>
      </c>
      <c r="I82">
        <v>71.5</v>
      </c>
      <c r="J82">
        <v>71.44</v>
      </c>
      <c r="K82">
        <v>0</v>
      </c>
      <c r="L82">
        <v>9.1920000000000002E-2</v>
      </c>
      <c r="M82">
        <v>0.13</v>
      </c>
      <c r="N82">
        <v>10</v>
      </c>
      <c r="O82">
        <v>0</v>
      </c>
      <c r="P82">
        <v>100</v>
      </c>
      <c r="Q82">
        <v>1</v>
      </c>
    </row>
    <row r="83" spans="1:17">
      <c r="A83" t="s">
        <v>120</v>
      </c>
      <c r="B83" t="s">
        <v>0</v>
      </c>
      <c r="C83" t="s">
        <v>254</v>
      </c>
      <c r="D83" t="s">
        <v>133</v>
      </c>
      <c r="E83" s="5">
        <v>45819.039560185185</v>
      </c>
      <c r="F83">
        <v>1</v>
      </c>
      <c r="G83">
        <v>1</v>
      </c>
      <c r="H83" t="s">
        <v>0</v>
      </c>
      <c r="I83">
        <v>0.71619999999999995</v>
      </c>
      <c r="J83">
        <v>0.42730000000000001</v>
      </c>
      <c r="K83">
        <v>0</v>
      </c>
      <c r="L83">
        <v>6.1159999999999999E-2</v>
      </c>
      <c r="M83">
        <v>14.32</v>
      </c>
      <c r="N83">
        <v>15</v>
      </c>
      <c r="O83">
        <v>1</v>
      </c>
      <c r="P83">
        <v>100</v>
      </c>
      <c r="Q83">
        <v>1</v>
      </c>
    </row>
    <row r="84" spans="1:17">
      <c r="A84" t="s">
        <v>120</v>
      </c>
      <c r="B84" t="s">
        <v>0</v>
      </c>
      <c r="C84" t="s">
        <v>254</v>
      </c>
      <c r="D84" t="s">
        <v>133</v>
      </c>
      <c r="E84" s="5">
        <v>45819.041030092594</v>
      </c>
      <c r="F84">
        <v>1</v>
      </c>
      <c r="G84">
        <v>2</v>
      </c>
      <c r="H84" t="s">
        <v>0</v>
      </c>
      <c r="I84">
        <v>0.47049999999999997</v>
      </c>
      <c r="J84">
        <v>0.42730000000000001</v>
      </c>
      <c r="K84">
        <v>0</v>
      </c>
      <c r="L84">
        <v>6.1159999999999999E-2</v>
      </c>
      <c r="M84">
        <v>14.32</v>
      </c>
      <c r="N84">
        <v>15</v>
      </c>
      <c r="O84">
        <v>0</v>
      </c>
      <c r="P84">
        <v>100</v>
      </c>
      <c r="Q84">
        <v>1</v>
      </c>
    </row>
    <row r="85" spans="1:17">
      <c r="A85" t="s">
        <v>120</v>
      </c>
      <c r="B85" t="s">
        <v>0</v>
      </c>
      <c r="C85" t="s">
        <v>254</v>
      </c>
      <c r="D85" t="s">
        <v>133</v>
      </c>
      <c r="E85" s="5">
        <v>45819.042500000003</v>
      </c>
      <c r="F85">
        <v>1</v>
      </c>
      <c r="G85">
        <v>3</v>
      </c>
      <c r="H85" t="s">
        <v>0</v>
      </c>
      <c r="I85">
        <v>0.38400000000000001</v>
      </c>
      <c r="J85">
        <v>0.42730000000000001</v>
      </c>
      <c r="K85">
        <v>0</v>
      </c>
      <c r="L85">
        <v>6.1159999999999999E-2</v>
      </c>
      <c r="M85">
        <v>14.32</v>
      </c>
      <c r="N85">
        <v>15</v>
      </c>
      <c r="O85">
        <v>0</v>
      </c>
      <c r="P85">
        <v>100</v>
      </c>
      <c r="Q85">
        <v>1</v>
      </c>
    </row>
    <row r="86" spans="1:17">
      <c r="A86" t="s">
        <v>120</v>
      </c>
      <c r="B86" t="s">
        <v>0</v>
      </c>
      <c r="C86" t="s">
        <v>255</v>
      </c>
      <c r="D86" t="s">
        <v>133</v>
      </c>
      <c r="E86" s="5">
        <v>45819.04965277778</v>
      </c>
      <c r="F86">
        <v>1</v>
      </c>
      <c r="G86">
        <v>1</v>
      </c>
      <c r="H86" t="s">
        <v>0</v>
      </c>
      <c r="I86">
        <v>12.83</v>
      </c>
      <c r="J86">
        <v>12.7</v>
      </c>
      <c r="K86">
        <v>0</v>
      </c>
      <c r="L86">
        <v>0.18379999999999999</v>
      </c>
      <c r="M86">
        <v>1.45</v>
      </c>
      <c r="N86">
        <v>45</v>
      </c>
      <c r="O86">
        <v>0</v>
      </c>
      <c r="P86">
        <v>100</v>
      </c>
      <c r="Q86">
        <v>1</v>
      </c>
    </row>
    <row r="87" spans="1:17">
      <c r="A87" t="s">
        <v>120</v>
      </c>
      <c r="B87" t="s">
        <v>0</v>
      </c>
      <c r="C87" t="s">
        <v>255</v>
      </c>
      <c r="D87" t="s">
        <v>133</v>
      </c>
      <c r="E87" s="5">
        <v>45819.05164351852</v>
      </c>
      <c r="F87">
        <v>1</v>
      </c>
      <c r="G87">
        <v>2</v>
      </c>
      <c r="H87" t="s">
        <v>0</v>
      </c>
      <c r="I87">
        <v>12.57</v>
      </c>
      <c r="J87">
        <v>12.7</v>
      </c>
      <c r="K87">
        <v>0</v>
      </c>
      <c r="L87">
        <v>0.18379999999999999</v>
      </c>
      <c r="M87">
        <v>1.45</v>
      </c>
      <c r="N87">
        <v>45</v>
      </c>
      <c r="O87">
        <v>0</v>
      </c>
      <c r="P87">
        <v>100</v>
      </c>
      <c r="Q87">
        <v>1</v>
      </c>
    </row>
    <row r="88" spans="1:17">
      <c r="A88" t="s">
        <v>120</v>
      </c>
      <c r="B88" t="s">
        <v>0</v>
      </c>
      <c r="C88" t="s">
        <v>256</v>
      </c>
      <c r="D88" t="s">
        <v>133</v>
      </c>
      <c r="E88" s="5">
        <v>45819.059699074074</v>
      </c>
      <c r="F88">
        <v>1</v>
      </c>
      <c r="G88">
        <v>1</v>
      </c>
      <c r="H88" t="s">
        <v>0</v>
      </c>
      <c r="I88">
        <v>83.89</v>
      </c>
      <c r="J88">
        <v>80.739999999999995</v>
      </c>
      <c r="K88">
        <v>0</v>
      </c>
      <c r="L88">
        <v>0.502</v>
      </c>
      <c r="M88">
        <v>0.62</v>
      </c>
      <c r="N88">
        <v>46</v>
      </c>
      <c r="O88">
        <v>1</v>
      </c>
      <c r="P88">
        <v>100</v>
      </c>
      <c r="Q88">
        <v>1</v>
      </c>
    </row>
    <row r="89" spans="1:17">
      <c r="A89" t="s">
        <v>120</v>
      </c>
      <c r="B89" t="s">
        <v>0</v>
      </c>
      <c r="C89" t="s">
        <v>256</v>
      </c>
      <c r="D89" t="s">
        <v>133</v>
      </c>
      <c r="E89" s="5">
        <v>45819.062164351853</v>
      </c>
      <c r="F89">
        <v>1</v>
      </c>
      <c r="G89">
        <v>2</v>
      </c>
      <c r="H89" t="s">
        <v>0</v>
      </c>
      <c r="I89">
        <v>81.09</v>
      </c>
      <c r="J89">
        <v>80.739999999999995</v>
      </c>
      <c r="K89">
        <v>0</v>
      </c>
      <c r="L89">
        <v>0.502</v>
      </c>
      <c r="M89">
        <v>0.62</v>
      </c>
      <c r="N89">
        <v>46</v>
      </c>
      <c r="O89">
        <v>0</v>
      </c>
      <c r="P89">
        <v>100</v>
      </c>
      <c r="Q89">
        <v>1</v>
      </c>
    </row>
    <row r="90" spans="1:17">
      <c r="A90" t="s">
        <v>120</v>
      </c>
      <c r="B90" t="s">
        <v>0</v>
      </c>
      <c r="C90" t="s">
        <v>256</v>
      </c>
      <c r="D90" t="s">
        <v>133</v>
      </c>
      <c r="E90" s="5">
        <v>45819.064375000002</v>
      </c>
      <c r="F90">
        <v>1</v>
      </c>
      <c r="G90">
        <v>3</v>
      </c>
      <c r="H90" t="s">
        <v>0</v>
      </c>
      <c r="I90">
        <v>80.38</v>
      </c>
      <c r="J90">
        <v>80.739999999999995</v>
      </c>
      <c r="K90">
        <v>0</v>
      </c>
      <c r="L90">
        <v>0.502</v>
      </c>
      <c r="M90">
        <v>0.62</v>
      </c>
      <c r="N90">
        <v>46</v>
      </c>
      <c r="O90">
        <v>0</v>
      </c>
      <c r="P90">
        <v>100</v>
      </c>
      <c r="Q90">
        <v>1</v>
      </c>
    </row>
    <row r="91" spans="1:17">
      <c r="A91" t="s">
        <v>120</v>
      </c>
      <c r="B91" t="s">
        <v>0</v>
      </c>
      <c r="C91" t="s">
        <v>94</v>
      </c>
      <c r="D91" t="s">
        <v>133</v>
      </c>
      <c r="E91" s="5">
        <v>45819.072199074071</v>
      </c>
      <c r="F91">
        <v>1</v>
      </c>
      <c r="G91">
        <v>1</v>
      </c>
      <c r="H91" t="s">
        <v>0</v>
      </c>
      <c r="I91">
        <v>102.9</v>
      </c>
      <c r="J91">
        <v>101.5</v>
      </c>
      <c r="K91">
        <v>0</v>
      </c>
      <c r="L91">
        <v>1.98</v>
      </c>
      <c r="M91">
        <v>1.95</v>
      </c>
      <c r="N91">
        <v>31</v>
      </c>
      <c r="O91">
        <v>0</v>
      </c>
      <c r="P91">
        <v>100</v>
      </c>
      <c r="Q91">
        <v>1</v>
      </c>
    </row>
    <row r="92" spans="1:17">
      <c r="A92" t="s">
        <v>120</v>
      </c>
      <c r="B92" t="s">
        <v>0</v>
      </c>
      <c r="C92" t="s">
        <v>94</v>
      </c>
      <c r="D92" t="s">
        <v>133</v>
      </c>
      <c r="E92" s="5">
        <v>45819.07440972222</v>
      </c>
      <c r="F92">
        <v>1</v>
      </c>
      <c r="G92">
        <v>2</v>
      </c>
      <c r="H92" t="s">
        <v>0</v>
      </c>
      <c r="I92">
        <v>100.1</v>
      </c>
      <c r="J92">
        <v>101.5</v>
      </c>
      <c r="K92">
        <v>0</v>
      </c>
      <c r="L92">
        <v>1.98</v>
      </c>
      <c r="M92">
        <v>1.95</v>
      </c>
      <c r="N92">
        <v>31</v>
      </c>
      <c r="O92">
        <v>0</v>
      </c>
      <c r="P92">
        <v>100</v>
      </c>
      <c r="Q92">
        <v>1</v>
      </c>
    </row>
    <row r="93" spans="1:17">
      <c r="A93" t="s">
        <v>120</v>
      </c>
      <c r="B93" t="s">
        <v>0</v>
      </c>
      <c r="C93" t="s">
        <v>95</v>
      </c>
      <c r="D93" t="s">
        <v>133</v>
      </c>
      <c r="E93" s="5">
        <v>45819.082013888888</v>
      </c>
      <c r="F93">
        <v>1</v>
      </c>
      <c r="G93">
        <v>1</v>
      </c>
      <c r="H93" t="s">
        <v>0</v>
      </c>
      <c r="I93">
        <v>70.709999999999994</v>
      </c>
      <c r="J93">
        <v>66.84</v>
      </c>
      <c r="K93">
        <v>0</v>
      </c>
      <c r="L93">
        <v>1.054</v>
      </c>
      <c r="M93">
        <v>1.58</v>
      </c>
      <c r="N93">
        <v>32</v>
      </c>
      <c r="O93">
        <v>1</v>
      </c>
      <c r="P93">
        <v>100</v>
      </c>
      <c r="Q93">
        <v>1</v>
      </c>
    </row>
    <row r="94" spans="1:17">
      <c r="A94" t="s">
        <v>120</v>
      </c>
      <c r="B94" t="s">
        <v>0</v>
      </c>
      <c r="C94" t="s">
        <v>95</v>
      </c>
      <c r="D94" t="s">
        <v>133</v>
      </c>
      <c r="E94" s="5">
        <v>45819.084293981483</v>
      </c>
      <c r="F94">
        <v>1</v>
      </c>
      <c r="G94">
        <v>2</v>
      </c>
      <c r="H94" t="s">
        <v>0</v>
      </c>
      <c r="I94">
        <v>67.58</v>
      </c>
      <c r="J94">
        <v>66.84</v>
      </c>
      <c r="K94">
        <v>0</v>
      </c>
      <c r="L94">
        <v>1.054</v>
      </c>
      <c r="M94">
        <v>1.58</v>
      </c>
      <c r="N94">
        <v>32</v>
      </c>
      <c r="O94">
        <v>0</v>
      </c>
      <c r="P94">
        <v>100</v>
      </c>
      <c r="Q94">
        <v>1</v>
      </c>
    </row>
    <row r="95" spans="1:17">
      <c r="A95" t="s">
        <v>120</v>
      </c>
      <c r="B95" t="s">
        <v>0</v>
      </c>
      <c r="C95" t="s">
        <v>95</v>
      </c>
      <c r="D95" t="s">
        <v>133</v>
      </c>
      <c r="E95" s="5">
        <v>45819.086493055554</v>
      </c>
      <c r="F95">
        <v>1</v>
      </c>
      <c r="G95">
        <v>3</v>
      </c>
      <c r="H95" t="s">
        <v>0</v>
      </c>
      <c r="I95">
        <v>66.09</v>
      </c>
      <c r="J95">
        <v>66.84</v>
      </c>
      <c r="K95">
        <v>0</v>
      </c>
      <c r="L95">
        <v>1.054</v>
      </c>
      <c r="M95">
        <v>1.58</v>
      </c>
      <c r="N95">
        <v>32</v>
      </c>
      <c r="O95">
        <v>0</v>
      </c>
      <c r="P95">
        <v>100</v>
      </c>
      <c r="Q95">
        <v>1</v>
      </c>
    </row>
    <row r="96" spans="1:17">
      <c r="A96" t="s">
        <v>120</v>
      </c>
      <c r="B96" t="s">
        <v>0</v>
      </c>
      <c r="C96" t="s">
        <v>96</v>
      </c>
      <c r="D96" t="s">
        <v>133</v>
      </c>
      <c r="E96" s="5">
        <v>45819.093993055554</v>
      </c>
      <c r="F96">
        <v>1</v>
      </c>
      <c r="G96">
        <v>1</v>
      </c>
      <c r="H96" t="s">
        <v>0</v>
      </c>
      <c r="I96">
        <v>51.48</v>
      </c>
      <c r="J96">
        <v>46.77</v>
      </c>
      <c r="K96">
        <v>0</v>
      </c>
      <c r="L96">
        <v>0.79200000000000004</v>
      </c>
      <c r="M96">
        <v>1.69</v>
      </c>
      <c r="N96">
        <v>33</v>
      </c>
      <c r="O96">
        <v>1</v>
      </c>
      <c r="P96">
        <v>100</v>
      </c>
      <c r="Q96">
        <v>1</v>
      </c>
    </row>
    <row r="97" spans="1:17">
      <c r="A97" t="s">
        <v>120</v>
      </c>
      <c r="B97" t="s">
        <v>0</v>
      </c>
      <c r="C97" t="s">
        <v>96</v>
      </c>
      <c r="D97" t="s">
        <v>133</v>
      </c>
      <c r="E97" s="5">
        <v>45819.096273148149</v>
      </c>
      <c r="F97">
        <v>1</v>
      </c>
      <c r="G97">
        <v>2</v>
      </c>
      <c r="H97" t="s">
        <v>0</v>
      </c>
      <c r="I97">
        <v>47.33</v>
      </c>
      <c r="J97">
        <v>46.77</v>
      </c>
      <c r="K97">
        <v>0</v>
      </c>
      <c r="L97">
        <v>0.79200000000000004</v>
      </c>
      <c r="M97">
        <v>1.69</v>
      </c>
      <c r="N97">
        <v>33</v>
      </c>
      <c r="O97">
        <v>0</v>
      </c>
      <c r="P97">
        <v>100</v>
      </c>
      <c r="Q97">
        <v>1</v>
      </c>
    </row>
    <row r="98" spans="1:17">
      <c r="A98" t="s">
        <v>120</v>
      </c>
      <c r="B98" t="s">
        <v>0</v>
      </c>
      <c r="C98" t="s">
        <v>96</v>
      </c>
      <c r="D98" t="s">
        <v>133</v>
      </c>
      <c r="E98" s="5">
        <v>45819.098310185182</v>
      </c>
      <c r="F98">
        <v>1</v>
      </c>
      <c r="G98">
        <v>3</v>
      </c>
      <c r="H98" t="s">
        <v>0</v>
      </c>
      <c r="I98">
        <v>46.21</v>
      </c>
      <c r="J98">
        <v>46.77</v>
      </c>
      <c r="K98">
        <v>0</v>
      </c>
      <c r="L98">
        <v>0.79200000000000004</v>
      </c>
      <c r="M98">
        <v>1.69</v>
      </c>
      <c r="N98">
        <v>33</v>
      </c>
      <c r="O98">
        <v>0</v>
      </c>
      <c r="P98">
        <v>100</v>
      </c>
      <c r="Q98">
        <v>1</v>
      </c>
    </row>
    <row r="99" spans="1:17">
      <c r="A99" t="s">
        <v>120</v>
      </c>
      <c r="B99" t="s">
        <v>0</v>
      </c>
      <c r="C99" t="s">
        <v>97</v>
      </c>
      <c r="D99" t="s">
        <v>133</v>
      </c>
      <c r="E99" s="5">
        <v>45819.105613425927</v>
      </c>
      <c r="F99">
        <v>1</v>
      </c>
      <c r="G99">
        <v>1</v>
      </c>
      <c r="H99" t="s">
        <v>0</v>
      </c>
      <c r="I99">
        <v>42.87</v>
      </c>
      <c r="J99">
        <v>40.36</v>
      </c>
      <c r="K99">
        <v>0</v>
      </c>
      <c r="L99">
        <v>4.9500000000000002E-2</v>
      </c>
      <c r="M99">
        <v>0.12</v>
      </c>
      <c r="N99">
        <v>34</v>
      </c>
      <c r="O99">
        <v>1</v>
      </c>
      <c r="P99">
        <v>100</v>
      </c>
      <c r="Q99">
        <v>1</v>
      </c>
    </row>
    <row r="100" spans="1:17">
      <c r="A100" t="s">
        <v>120</v>
      </c>
      <c r="B100" t="s">
        <v>0</v>
      </c>
      <c r="C100" t="s">
        <v>97</v>
      </c>
      <c r="D100" t="s">
        <v>133</v>
      </c>
      <c r="E100" s="5">
        <v>45819.107743055552</v>
      </c>
      <c r="F100">
        <v>1</v>
      </c>
      <c r="G100">
        <v>2</v>
      </c>
      <c r="H100" t="s">
        <v>0</v>
      </c>
      <c r="I100">
        <v>40.39</v>
      </c>
      <c r="J100">
        <v>40.36</v>
      </c>
      <c r="K100">
        <v>0</v>
      </c>
      <c r="L100">
        <v>4.9500000000000002E-2</v>
      </c>
      <c r="M100">
        <v>0.12</v>
      </c>
      <c r="N100">
        <v>34</v>
      </c>
      <c r="O100">
        <v>0</v>
      </c>
      <c r="P100">
        <v>100</v>
      </c>
      <c r="Q100">
        <v>1</v>
      </c>
    </row>
    <row r="101" spans="1:17">
      <c r="A101" t="s">
        <v>120</v>
      </c>
      <c r="B101" t="s">
        <v>0</v>
      </c>
      <c r="C101" t="s">
        <v>97</v>
      </c>
      <c r="D101" t="s">
        <v>133</v>
      </c>
      <c r="E101" s="5">
        <v>45819.109918981485</v>
      </c>
      <c r="F101">
        <v>1</v>
      </c>
      <c r="G101">
        <v>3</v>
      </c>
      <c r="H101" t="s">
        <v>0</v>
      </c>
      <c r="I101">
        <v>40.32</v>
      </c>
      <c r="J101">
        <v>40.36</v>
      </c>
      <c r="K101">
        <v>0</v>
      </c>
      <c r="L101">
        <v>4.9500000000000002E-2</v>
      </c>
      <c r="M101">
        <v>0.12</v>
      </c>
      <c r="N101">
        <v>34</v>
      </c>
      <c r="O101">
        <v>0</v>
      </c>
      <c r="P101">
        <v>100</v>
      </c>
      <c r="Q101">
        <v>1</v>
      </c>
    </row>
    <row r="102" spans="1:17">
      <c r="A102" t="s">
        <v>120</v>
      </c>
      <c r="B102" t="s">
        <v>0</v>
      </c>
      <c r="C102" t="s">
        <v>98</v>
      </c>
      <c r="D102" t="s">
        <v>133</v>
      </c>
      <c r="E102" s="5">
        <v>45819.117407407408</v>
      </c>
      <c r="F102">
        <v>1</v>
      </c>
      <c r="G102">
        <v>1</v>
      </c>
      <c r="H102" t="s">
        <v>0</v>
      </c>
      <c r="I102">
        <v>39.53</v>
      </c>
      <c r="J102">
        <v>36.56</v>
      </c>
      <c r="K102">
        <v>0</v>
      </c>
      <c r="L102">
        <v>0.38179999999999997</v>
      </c>
      <c r="M102">
        <v>1.04</v>
      </c>
      <c r="N102">
        <v>35</v>
      </c>
      <c r="O102">
        <v>1</v>
      </c>
      <c r="P102">
        <v>100</v>
      </c>
      <c r="Q102">
        <v>1</v>
      </c>
    </row>
    <row r="103" spans="1:17">
      <c r="A103" t="s">
        <v>120</v>
      </c>
      <c r="B103" t="s">
        <v>0</v>
      </c>
      <c r="C103" t="s">
        <v>98</v>
      </c>
      <c r="D103" t="s">
        <v>133</v>
      </c>
      <c r="E103" s="5">
        <v>45819.119525462964</v>
      </c>
      <c r="F103">
        <v>1</v>
      </c>
      <c r="G103">
        <v>2</v>
      </c>
      <c r="H103" t="s">
        <v>0</v>
      </c>
      <c r="I103">
        <v>36.83</v>
      </c>
      <c r="J103">
        <v>36.56</v>
      </c>
      <c r="K103">
        <v>0</v>
      </c>
      <c r="L103">
        <v>0.38179999999999997</v>
      </c>
      <c r="M103">
        <v>1.04</v>
      </c>
      <c r="N103">
        <v>35</v>
      </c>
      <c r="O103">
        <v>0</v>
      </c>
      <c r="P103">
        <v>100</v>
      </c>
      <c r="Q103">
        <v>1</v>
      </c>
    </row>
    <row r="104" spans="1:17">
      <c r="A104" t="s">
        <v>120</v>
      </c>
      <c r="B104" t="s">
        <v>0</v>
      </c>
      <c r="C104" t="s">
        <v>98</v>
      </c>
      <c r="D104" t="s">
        <v>133</v>
      </c>
      <c r="E104" s="5">
        <v>45819.121655092589</v>
      </c>
      <c r="F104">
        <v>1</v>
      </c>
      <c r="G104">
        <v>3</v>
      </c>
      <c r="H104" t="s">
        <v>0</v>
      </c>
      <c r="I104">
        <v>36.29</v>
      </c>
      <c r="J104">
        <v>36.56</v>
      </c>
      <c r="K104">
        <v>0</v>
      </c>
      <c r="L104">
        <v>0.38179999999999997</v>
      </c>
      <c r="M104">
        <v>1.04</v>
      </c>
      <c r="N104">
        <v>35</v>
      </c>
      <c r="O104">
        <v>0</v>
      </c>
      <c r="P104">
        <v>100</v>
      </c>
      <c r="Q104">
        <v>1</v>
      </c>
    </row>
    <row r="105" spans="1:17">
      <c r="A105" t="s">
        <v>120</v>
      </c>
      <c r="B105" t="s">
        <v>0</v>
      </c>
      <c r="C105" t="s">
        <v>99</v>
      </c>
      <c r="D105" t="s">
        <v>133</v>
      </c>
      <c r="E105" s="5">
        <v>45819.129212962966</v>
      </c>
      <c r="F105">
        <v>1</v>
      </c>
      <c r="G105">
        <v>1</v>
      </c>
      <c r="H105" t="s">
        <v>0</v>
      </c>
      <c r="I105">
        <v>37.71</v>
      </c>
      <c r="J105">
        <v>33.78</v>
      </c>
      <c r="K105">
        <v>0</v>
      </c>
      <c r="L105">
        <v>0.91920000000000002</v>
      </c>
      <c r="M105">
        <v>2.72</v>
      </c>
      <c r="N105">
        <v>36</v>
      </c>
      <c r="O105">
        <v>1</v>
      </c>
      <c r="P105">
        <v>100</v>
      </c>
      <c r="Q105">
        <v>1</v>
      </c>
    </row>
    <row r="106" spans="1:17">
      <c r="A106" t="s">
        <v>120</v>
      </c>
      <c r="B106" t="s">
        <v>0</v>
      </c>
      <c r="C106" t="s">
        <v>99</v>
      </c>
      <c r="D106" t="s">
        <v>133</v>
      </c>
      <c r="E106" s="5">
        <v>45819.131342592591</v>
      </c>
      <c r="F106">
        <v>1</v>
      </c>
      <c r="G106">
        <v>2</v>
      </c>
      <c r="H106" t="s">
        <v>0</v>
      </c>
      <c r="I106">
        <v>34.43</v>
      </c>
      <c r="J106">
        <v>33.78</v>
      </c>
      <c r="K106">
        <v>0</v>
      </c>
      <c r="L106">
        <v>0.91920000000000002</v>
      </c>
      <c r="M106">
        <v>2.72</v>
      </c>
      <c r="N106">
        <v>36</v>
      </c>
      <c r="O106">
        <v>0</v>
      </c>
      <c r="P106">
        <v>100</v>
      </c>
      <c r="Q106">
        <v>1</v>
      </c>
    </row>
    <row r="107" spans="1:17">
      <c r="A107" t="s">
        <v>120</v>
      </c>
      <c r="B107" t="s">
        <v>0</v>
      </c>
      <c r="C107" t="s">
        <v>99</v>
      </c>
      <c r="D107" t="s">
        <v>133</v>
      </c>
      <c r="E107" s="5">
        <v>45819.133449074077</v>
      </c>
      <c r="F107">
        <v>1</v>
      </c>
      <c r="G107">
        <v>3</v>
      </c>
      <c r="H107" t="s">
        <v>0</v>
      </c>
      <c r="I107">
        <v>33.130000000000003</v>
      </c>
      <c r="J107">
        <v>33.78</v>
      </c>
      <c r="K107">
        <v>0</v>
      </c>
      <c r="L107">
        <v>0.91920000000000002</v>
      </c>
      <c r="M107">
        <v>2.72</v>
      </c>
      <c r="N107">
        <v>36</v>
      </c>
      <c r="O107">
        <v>0</v>
      </c>
      <c r="P107">
        <v>100</v>
      </c>
      <c r="Q107">
        <v>1</v>
      </c>
    </row>
    <row r="108" spans="1:17">
      <c r="A108" t="s">
        <v>120</v>
      </c>
      <c r="B108" t="s">
        <v>0</v>
      </c>
      <c r="C108" t="s">
        <v>257</v>
      </c>
      <c r="D108" t="s">
        <v>133</v>
      </c>
      <c r="E108" s="5">
        <v>45819.14135416667</v>
      </c>
      <c r="F108">
        <v>1</v>
      </c>
      <c r="G108">
        <v>1</v>
      </c>
      <c r="H108" t="s">
        <v>0</v>
      </c>
      <c r="I108">
        <v>75.36</v>
      </c>
      <c r="J108">
        <v>71.33</v>
      </c>
      <c r="K108">
        <v>0</v>
      </c>
      <c r="L108">
        <v>0.52329999999999999</v>
      </c>
      <c r="M108">
        <v>0.73</v>
      </c>
      <c r="N108">
        <v>11</v>
      </c>
      <c r="O108">
        <v>1</v>
      </c>
      <c r="P108">
        <v>100</v>
      </c>
      <c r="Q108">
        <v>1</v>
      </c>
    </row>
    <row r="109" spans="1:17">
      <c r="A109" t="s">
        <v>120</v>
      </c>
      <c r="B109" t="s">
        <v>0</v>
      </c>
      <c r="C109" t="s">
        <v>257</v>
      </c>
      <c r="D109" t="s">
        <v>133</v>
      </c>
      <c r="E109" s="5">
        <v>45819.143645833334</v>
      </c>
      <c r="F109">
        <v>1</v>
      </c>
      <c r="G109">
        <v>2</v>
      </c>
      <c r="H109" t="s">
        <v>0</v>
      </c>
      <c r="I109">
        <v>71.7</v>
      </c>
      <c r="J109">
        <v>71.33</v>
      </c>
      <c r="K109">
        <v>0</v>
      </c>
      <c r="L109">
        <v>0.52329999999999999</v>
      </c>
      <c r="M109">
        <v>0.73</v>
      </c>
      <c r="N109">
        <v>11</v>
      </c>
      <c r="O109">
        <v>0</v>
      </c>
      <c r="P109">
        <v>100</v>
      </c>
      <c r="Q109">
        <v>1</v>
      </c>
    </row>
    <row r="110" spans="1:17">
      <c r="A110" t="s">
        <v>120</v>
      </c>
      <c r="B110" t="s">
        <v>0</v>
      </c>
      <c r="C110" t="s">
        <v>257</v>
      </c>
      <c r="D110" t="s">
        <v>133</v>
      </c>
      <c r="E110" s="5">
        <v>45819.145833333336</v>
      </c>
      <c r="F110">
        <v>1</v>
      </c>
      <c r="G110">
        <v>3</v>
      </c>
      <c r="H110" t="s">
        <v>0</v>
      </c>
      <c r="I110">
        <v>70.959999999999994</v>
      </c>
      <c r="J110">
        <v>71.33</v>
      </c>
      <c r="K110">
        <v>0</v>
      </c>
      <c r="L110">
        <v>0.52329999999999999</v>
      </c>
      <c r="M110">
        <v>0.73</v>
      </c>
      <c r="N110">
        <v>11</v>
      </c>
      <c r="O110">
        <v>0</v>
      </c>
      <c r="P110">
        <v>100</v>
      </c>
      <c r="Q110">
        <v>1</v>
      </c>
    </row>
    <row r="111" spans="1:17">
      <c r="A111" t="s">
        <v>120</v>
      </c>
      <c r="B111" t="s">
        <v>0</v>
      </c>
      <c r="C111" t="s">
        <v>258</v>
      </c>
      <c r="D111" t="s">
        <v>133</v>
      </c>
      <c r="E111" s="5">
        <v>45819.15252314815</v>
      </c>
      <c r="F111">
        <v>1</v>
      </c>
      <c r="G111">
        <v>1</v>
      </c>
      <c r="H111" t="s">
        <v>0</v>
      </c>
      <c r="I111">
        <v>0.98640000000000005</v>
      </c>
      <c r="J111">
        <v>0.64990000000000003</v>
      </c>
      <c r="K111">
        <v>0</v>
      </c>
      <c r="L111">
        <v>9.1289999999999996E-2</v>
      </c>
      <c r="M111">
        <v>14.05</v>
      </c>
      <c r="N111">
        <v>16</v>
      </c>
      <c r="O111">
        <v>1</v>
      </c>
      <c r="P111">
        <v>100</v>
      </c>
      <c r="Q111">
        <v>1</v>
      </c>
    </row>
    <row r="112" spans="1:17">
      <c r="A112" t="s">
        <v>120</v>
      </c>
      <c r="B112" t="s">
        <v>0</v>
      </c>
      <c r="C112" t="s">
        <v>258</v>
      </c>
      <c r="D112" t="s">
        <v>133</v>
      </c>
      <c r="E112" s="5">
        <v>45819.154004629629</v>
      </c>
      <c r="F112">
        <v>1</v>
      </c>
      <c r="G112">
        <v>2</v>
      </c>
      <c r="H112" t="s">
        <v>0</v>
      </c>
      <c r="I112">
        <v>0.71440000000000003</v>
      </c>
      <c r="J112">
        <v>0.64990000000000003</v>
      </c>
      <c r="K112">
        <v>0</v>
      </c>
      <c r="L112">
        <v>9.1289999999999996E-2</v>
      </c>
      <c r="M112">
        <v>14.05</v>
      </c>
      <c r="N112">
        <v>16</v>
      </c>
      <c r="O112">
        <v>0</v>
      </c>
      <c r="P112">
        <v>100</v>
      </c>
      <c r="Q112">
        <v>1</v>
      </c>
    </row>
    <row r="113" spans="1:17">
      <c r="A113" t="s">
        <v>120</v>
      </c>
      <c r="B113" t="s">
        <v>0</v>
      </c>
      <c r="C113" t="s">
        <v>258</v>
      </c>
      <c r="D113" t="s">
        <v>133</v>
      </c>
      <c r="E113" s="5">
        <v>45819.155474537038</v>
      </c>
      <c r="F113">
        <v>1</v>
      </c>
      <c r="G113">
        <v>3</v>
      </c>
      <c r="H113" t="s">
        <v>0</v>
      </c>
      <c r="I113">
        <v>0.58530000000000004</v>
      </c>
      <c r="J113">
        <v>0.64990000000000003</v>
      </c>
      <c r="K113">
        <v>0</v>
      </c>
      <c r="L113">
        <v>9.1289999999999996E-2</v>
      </c>
      <c r="M113">
        <v>14.05</v>
      </c>
      <c r="N113">
        <v>16</v>
      </c>
      <c r="O113">
        <v>0</v>
      </c>
      <c r="P113">
        <v>100</v>
      </c>
      <c r="Q113">
        <v>1</v>
      </c>
    </row>
    <row r="114" spans="1:17">
      <c r="A114" t="s">
        <v>120</v>
      </c>
      <c r="B114" t="s">
        <v>0</v>
      </c>
      <c r="C114" t="s">
        <v>259</v>
      </c>
      <c r="D114" t="s">
        <v>133</v>
      </c>
      <c r="E114" s="5">
        <v>45819.162905092591</v>
      </c>
      <c r="F114">
        <v>1</v>
      </c>
      <c r="G114">
        <v>1</v>
      </c>
      <c r="H114" t="s">
        <v>0</v>
      </c>
      <c r="I114">
        <v>31.68</v>
      </c>
      <c r="J114">
        <v>31.76</v>
      </c>
      <c r="K114">
        <v>0</v>
      </c>
      <c r="L114">
        <v>0.1061</v>
      </c>
      <c r="M114">
        <v>0.33</v>
      </c>
      <c r="N114">
        <v>47</v>
      </c>
      <c r="O114">
        <v>0</v>
      </c>
      <c r="P114">
        <v>100</v>
      </c>
      <c r="Q114">
        <v>1</v>
      </c>
    </row>
    <row r="115" spans="1:17">
      <c r="A115" t="s">
        <v>120</v>
      </c>
      <c r="B115" t="s">
        <v>0</v>
      </c>
      <c r="C115" t="s">
        <v>259</v>
      </c>
      <c r="D115" t="s">
        <v>133</v>
      </c>
      <c r="E115" s="5">
        <v>45819.165150462963</v>
      </c>
      <c r="F115">
        <v>1</v>
      </c>
      <c r="G115">
        <v>2</v>
      </c>
      <c r="H115" t="s">
        <v>0</v>
      </c>
      <c r="I115">
        <v>31.83</v>
      </c>
      <c r="J115">
        <v>31.76</v>
      </c>
      <c r="K115">
        <v>0</v>
      </c>
      <c r="L115">
        <v>0.1061</v>
      </c>
      <c r="M115">
        <v>0.33</v>
      </c>
      <c r="N115">
        <v>47</v>
      </c>
      <c r="O115">
        <v>0</v>
      </c>
      <c r="P115">
        <v>100</v>
      </c>
      <c r="Q115">
        <v>1</v>
      </c>
    </row>
    <row r="116" spans="1:17">
      <c r="A116" t="s">
        <v>120</v>
      </c>
      <c r="B116" t="s">
        <v>0</v>
      </c>
      <c r="C116" t="s">
        <v>260</v>
      </c>
      <c r="D116" t="s">
        <v>133</v>
      </c>
      <c r="E116" s="5">
        <v>45819.172858796293</v>
      </c>
      <c r="F116">
        <v>1</v>
      </c>
      <c r="G116">
        <v>1</v>
      </c>
      <c r="H116" t="s">
        <v>0</v>
      </c>
      <c r="I116">
        <v>103</v>
      </c>
      <c r="J116">
        <v>100.4</v>
      </c>
      <c r="K116">
        <v>0</v>
      </c>
      <c r="L116">
        <v>0.77070000000000005</v>
      </c>
      <c r="M116">
        <v>0.77</v>
      </c>
      <c r="N116">
        <v>48</v>
      </c>
      <c r="O116">
        <v>1</v>
      </c>
      <c r="P116">
        <v>100</v>
      </c>
      <c r="Q116">
        <v>1</v>
      </c>
    </row>
    <row r="117" spans="1:17">
      <c r="A117" t="s">
        <v>120</v>
      </c>
      <c r="B117" t="s">
        <v>0</v>
      </c>
      <c r="C117" t="s">
        <v>260</v>
      </c>
      <c r="D117" t="s">
        <v>133</v>
      </c>
      <c r="E117" s="5">
        <v>45819.175196759257</v>
      </c>
      <c r="F117">
        <v>1</v>
      </c>
      <c r="G117">
        <v>2</v>
      </c>
      <c r="H117" t="s">
        <v>0</v>
      </c>
      <c r="I117">
        <v>99.81</v>
      </c>
      <c r="J117">
        <v>100.4</v>
      </c>
      <c r="K117">
        <v>0</v>
      </c>
      <c r="L117">
        <v>0.77070000000000005</v>
      </c>
      <c r="M117">
        <v>0.77</v>
      </c>
      <c r="N117">
        <v>48</v>
      </c>
      <c r="O117">
        <v>0</v>
      </c>
      <c r="P117">
        <v>100</v>
      </c>
      <c r="Q117">
        <v>1</v>
      </c>
    </row>
    <row r="118" spans="1:17">
      <c r="A118" t="s">
        <v>120</v>
      </c>
      <c r="B118" t="s">
        <v>0</v>
      </c>
      <c r="C118" t="s">
        <v>260</v>
      </c>
      <c r="D118" t="s">
        <v>133</v>
      </c>
      <c r="E118" s="5">
        <v>45819.177523148152</v>
      </c>
      <c r="F118">
        <v>1</v>
      </c>
      <c r="G118">
        <v>3</v>
      </c>
      <c r="H118" t="s">
        <v>0</v>
      </c>
      <c r="I118">
        <v>100.9</v>
      </c>
      <c r="J118">
        <v>100.4</v>
      </c>
      <c r="K118">
        <v>0</v>
      </c>
      <c r="L118">
        <v>0.77070000000000005</v>
      </c>
      <c r="M118">
        <v>0.77</v>
      </c>
      <c r="N118">
        <v>48</v>
      </c>
      <c r="O118">
        <v>0</v>
      </c>
      <c r="P118">
        <v>100</v>
      </c>
      <c r="Q118">
        <v>1</v>
      </c>
    </row>
    <row r="119" spans="1:17">
      <c r="A119" t="s">
        <v>120</v>
      </c>
      <c r="B119" t="s">
        <v>0</v>
      </c>
      <c r="C119" t="s">
        <v>261</v>
      </c>
      <c r="D119" t="s">
        <v>133</v>
      </c>
      <c r="E119" s="5">
        <v>45819.185497685183</v>
      </c>
      <c r="F119">
        <v>1</v>
      </c>
      <c r="G119">
        <v>1</v>
      </c>
      <c r="H119" t="s">
        <v>0</v>
      </c>
      <c r="I119">
        <v>99.18</v>
      </c>
      <c r="J119">
        <v>95.62</v>
      </c>
      <c r="K119">
        <v>0</v>
      </c>
      <c r="L119">
        <v>0.84150000000000003</v>
      </c>
      <c r="M119">
        <v>0.88</v>
      </c>
      <c r="N119">
        <v>37</v>
      </c>
      <c r="O119">
        <v>1</v>
      </c>
      <c r="P119">
        <v>100</v>
      </c>
      <c r="Q119">
        <v>1</v>
      </c>
    </row>
    <row r="120" spans="1:17">
      <c r="A120" t="s">
        <v>120</v>
      </c>
      <c r="B120" t="s">
        <v>0</v>
      </c>
      <c r="C120" t="s">
        <v>261</v>
      </c>
      <c r="D120" t="s">
        <v>133</v>
      </c>
      <c r="E120" s="5">
        <v>45819.188009259262</v>
      </c>
      <c r="F120">
        <v>1</v>
      </c>
      <c r="G120">
        <v>2</v>
      </c>
      <c r="H120" t="s">
        <v>0</v>
      </c>
      <c r="I120">
        <v>96.21</v>
      </c>
      <c r="J120">
        <v>95.62</v>
      </c>
      <c r="K120">
        <v>0</v>
      </c>
      <c r="L120">
        <v>0.84150000000000003</v>
      </c>
      <c r="M120">
        <v>0.88</v>
      </c>
      <c r="N120">
        <v>37</v>
      </c>
      <c r="O120">
        <v>0</v>
      </c>
      <c r="P120">
        <v>100</v>
      </c>
      <c r="Q120">
        <v>1</v>
      </c>
    </row>
    <row r="121" spans="1:17">
      <c r="A121" t="s">
        <v>120</v>
      </c>
      <c r="B121" t="s">
        <v>0</v>
      </c>
      <c r="C121" t="s">
        <v>261</v>
      </c>
      <c r="D121" t="s">
        <v>133</v>
      </c>
      <c r="E121" s="5">
        <v>45819.190312500003</v>
      </c>
      <c r="F121">
        <v>1</v>
      </c>
      <c r="G121">
        <v>3</v>
      </c>
      <c r="H121" t="s">
        <v>0</v>
      </c>
      <c r="I121">
        <v>95.02</v>
      </c>
      <c r="J121">
        <v>95.62</v>
      </c>
      <c r="K121">
        <v>0</v>
      </c>
      <c r="L121">
        <v>0.84150000000000003</v>
      </c>
      <c r="M121">
        <v>0.88</v>
      </c>
      <c r="N121">
        <v>37</v>
      </c>
      <c r="O121">
        <v>0</v>
      </c>
      <c r="P121">
        <v>100</v>
      </c>
      <c r="Q121">
        <v>1</v>
      </c>
    </row>
    <row r="122" spans="1:17">
      <c r="A122" t="s">
        <v>120</v>
      </c>
      <c r="B122" t="s">
        <v>0</v>
      </c>
      <c r="C122" t="s">
        <v>262</v>
      </c>
      <c r="D122" t="s">
        <v>133</v>
      </c>
      <c r="E122" s="5">
        <v>45819.198101851849</v>
      </c>
      <c r="F122">
        <v>1</v>
      </c>
      <c r="G122">
        <v>1</v>
      </c>
      <c r="H122" t="s">
        <v>0</v>
      </c>
      <c r="I122">
        <v>67.14</v>
      </c>
      <c r="J122">
        <v>63.85</v>
      </c>
      <c r="K122">
        <v>0</v>
      </c>
      <c r="L122">
        <v>0.48080000000000001</v>
      </c>
      <c r="M122">
        <v>0.75</v>
      </c>
      <c r="N122">
        <v>38</v>
      </c>
      <c r="O122">
        <v>1</v>
      </c>
      <c r="P122">
        <v>100</v>
      </c>
      <c r="Q122">
        <v>1</v>
      </c>
    </row>
    <row r="123" spans="1:17">
      <c r="A123" t="s">
        <v>120</v>
      </c>
      <c r="B123" t="s">
        <v>0</v>
      </c>
      <c r="C123" t="s">
        <v>262</v>
      </c>
      <c r="D123" t="s">
        <v>133</v>
      </c>
      <c r="E123" s="5">
        <v>45819.200462962966</v>
      </c>
      <c r="F123">
        <v>1</v>
      </c>
      <c r="G123">
        <v>2</v>
      </c>
      <c r="H123" t="s">
        <v>0</v>
      </c>
      <c r="I123">
        <v>63.51</v>
      </c>
      <c r="J123">
        <v>63.85</v>
      </c>
      <c r="K123">
        <v>0</v>
      </c>
      <c r="L123">
        <v>0.48080000000000001</v>
      </c>
      <c r="M123">
        <v>0.75</v>
      </c>
      <c r="N123">
        <v>38</v>
      </c>
      <c r="O123">
        <v>0</v>
      </c>
      <c r="P123">
        <v>100</v>
      </c>
      <c r="Q123">
        <v>1</v>
      </c>
    </row>
    <row r="124" spans="1:17">
      <c r="A124" t="s">
        <v>120</v>
      </c>
      <c r="B124" t="s">
        <v>0</v>
      </c>
      <c r="C124" t="s">
        <v>262</v>
      </c>
      <c r="D124" t="s">
        <v>133</v>
      </c>
      <c r="E124" s="5">
        <v>45819.202708333331</v>
      </c>
      <c r="F124">
        <v>1</v>
      </c>
      <c r="G124">
        <v>3</v>
      </c>
      <c r="H124" t="s">
        <v>0</v>
      </c>
      <c r="I124">
        <v>64.19</v>
      </c>
      <c r="J124">
        <v>63.85</v>
      </c>
      <c r="K124">
        <v>0</v>
      </c>
      <c r="L124">
        <v>0.48080000000000001</v>
      </c>
      <c r="M124">
        <v>0.75</v>
      </c>
      <c r="N124">
        <v>38</v>
      </c>
      <c r="O124">
        <v>0</v>
      </c>
      <c r="P124">
        <v>100</v>
      </c>
      <c r="Q124">
        <v>1</v>
      </c>
    </row>
    <row r="125" spans="1:17">
      <c r="A125" t="s">
        <v>120</v>
      </c>
      <c r="B125" t="s">
        <v>0</v>
      </c>
      <c r="C125" t="s">
        <v>263</v>
      </c>
      <c r="D125" t="s">
        <v>133</v>
      </c>
      <c r="E125" s="5">
        <v>45819.210405092592</v>
      </c>
      <c r="F125">
        <v>1</v>
      </c>
      <c r="G125">
        <v>1</v>
      </c>
      <c r="H125" t="s">
        <v>0</v>
      </c>
      <c r="I125">
        <v>47.08</v>
      </c>
      <c r="J125">
        <v>44.45</v>
      </c>
      <c r="K125">
        <v>0</v>
      </c>
      <c r="L125">
        <v>0.16969999999999999</v>
      </c>
      <c r="M125">
        <v>0.38</v>
      </c>
      <c r="N125">
        <v>39</v>
      </c>
      <c r="O125">
        <v>1</v>
      </c>
      <c r="P125">
        <v>100</v>
      </c>
      <c r="Q125">
        <v>1</v>
      </c>
    </row>
    <row r="126" spans="1:17">
      <c r="A126" t="s">
        <v>120</v>
      </c>
      <c r="B126" t="s">
        <v>0</v>
      </c>
      <c r="C126" t="s">
        <v>263</v>
      </c>
      <c r="D126" t="s">
        <v>133</v>
      </c>
      <c r="E126" s="5">
        <v>45819.212523148148</v>
      </c>
      <c r="F126">
        <v>1</v>
      </c>
      <c r="G126">
        <v>2</v>
      </c>
      <c r="H126" t="s">
        <v>0</v>
      </c>
      <c r="I126">
        <v>44.33</v>
      </c>
      <c r="J126">
        <v>44.45</v>
      </c>
      <c r="K126">
        <v>0</v>
      </c>
      <c r="L126">
        <v>0.16969999999999999</v>
      </c>
      <c r="M126">
        <v>0.38</v>
      </c>
      <c r="N126">
        <v>39</v>
      </c>
      <c r="O126">
        <v>0</v>
      </c>
      <c r="P126">
        <v>100</v>
      </c>
      <c r="Q126">
        <v>1</v>
      </c>
    </row>
    <row r="127" spans="1:17">
      <c r="A127" t="s">
        <v>120</v>
      </c>
      <c r="B127" t="s">
        <v>0</v>
      </c>
      <c r="C127" t="s">
        <v>263</v>
      </c>
      <c r="D127" t="s">
        <v>133</v>
      </c>
      <c r="E127" s="5">
        <v>45819.214699074073</v>
      </c>
      <c r="F127">
        <v>1</v>
      </c>
      <c r="G127">
        <v>3</v>
      </c>
      <c r="H127" t="s">
        <v>0</v>
      </c>
      <c r="I127">
        <v>44.57</v>
      </c>
      <c r="J127">
        <v>44.45</v>
      </c>
      <c r="K127">
        <v>0</v>
      </c>
      <c r="L127">
        <v>0.16969999999999999</v>
      </c>
      <c r="M127">
        <v>0.38</v>
      </c>
      <c r="N127">
        <v>39</v>
      </c>
      <c r="O127">
        <v>0</v>
      </c>
      <c r="P127">
        <v>100</v>
      </c>
      <c r="Q127">
        <v>1</v>
      </c>
    </row>
    <row r="128" spans="1:17">
      <c r="A128" t="s">
        <v>120</v>
      </c>
      <c r="B128" t="s">
        <v>0</v>
      </c>
      <c r="C128" t="s">
        <v>264</v>
      </c>
      <c r="D128" t="s">
        <v>133</v>
      </c>
      <c r="E128" s="5">
        <v>45819.222314814811</v>
      </c>
      <c r="F128">
        <v>1</v>
      </c>
      <c r="G128">
        <v>1</v>
      </c>
      <c r="H128" t="s">
        <v>0</v>
      </c>
      <c r="I128">
        <v>41.06</v>
      </c>
      <c r="J128">
        <v>38.479999999999997</v>
      </c>
      <c r="K128">
        <v>0</v>
      </c>
      <c r="L128">
        <v>0.37480000000000002</v>
      </c>
      <c r="M128">
        <v>0.97</v>
      </c>
      <c r="N128">
        <v>40</v>
      </c>
      <c r="O128">
        <v>1</v>
      </c>
      <c r="P128">
        <v>100</v>
      </c>
      <c r="Q128">
        <v>1</v>
      </c>
    </row>
    <row r="129" spans="1:17">
      <c r="A129" t="s">
        <v>120</v>
      </c>
      <c r="B129" t="s">
        <v>0</v>
      </c>
      <c r="C129" t="s">
        <v>264</v>
      </c>
      <c r="D129" t="s">
        <v>133</v>
      </c>
      <c r="E129" s="5">
        <v>45819.224456018521</v>
      </c>
      <c r="F129">
        <v>1</v>
      </c>
      <c r="G129">
        <v>2</v>
      </c>
      <c r="H129" t="s">
        <v>0</v>
      </c>
      <c r="I129">
        <v>38.75</v>
      </c>
      <c r="J129">
        <v>38.479999999999997</v>
      </c>
      <c r="K129">
        <v>0</v>
      </c>
      <c r="L129">
        <v>0.37480000000000002</v>
      </c>
      <c r="M129">
        <v>0.97</v>
      </c>
      <c r="N129">
        <v>40</v>
      </c>
      <c r="O129">
        <v>0</v>
      </c>
      <c r="P129">
        <v>100</v>
      </c>
      <c r="Q129">
        <v>1</v>
      </c>
    </row>
    <row r="130" spans="1:17">
      <c r="A130" t="s">
        <v>120</v>
      </c>
      <c r="B130" t="s">
        <v>0</v>
      </c>
      <c r="C130" t="s">
        <v>264</v>
      </c>
      <c r="D130" t="s">
        <v>133</v>
      </c>
      <c r="E130" s="5">
        <v>45819.226689814815</v>
      </c>
      <c r="F130">
        <v>1</v>
      </c>
      <c r="G130">
        <v>3</v>
      </c>
      <c r="H130" t="s">
        <v>0</v>
      </c>
      <c r="I130">
        <v>38.22</v>
      </c>
      <c r="J130">
        <v>38.479999999999997</v>
      </c>
      <c r="K130">
        <v>0</v>
      </c>
      <c r="L130">
        <v>0.37480000000000002</v>
      </c>
      <c r="M130">
        <v>0.97</v>
      </c>
      <c r="N130">
        <v>40</v>
      </c>
      <c r="O130">
        <v>0</v>
      </c>
      <c r="P130">
        <v>100</v>
      </c>
      <c r="Q130">
        <v>1</v>
      </c>
    </row>
    <row r="131" spans="1:17">
      <c r="A131" t="s">
        <v>120</v>
      </c>
      <c r="B131" t="s">
        <v>0</v>
      </c>
      <c r="C131" t="s">
        <v>265</v>
      </c>
      <c r="D131" t="s">
        <v>133</v>
      </c>
      <c r="E131" s="5">
        <v>45819.234224537038</v>
      </c>
      <c r="F131">
        <v>1</v>
      </c>
      <c r="G131">
        <v>1</v>
      </c>
      <c r="H131" t="s">
        <v>0</v>
      </c>
      <c r="I131">
        <v>37.26</v>
      </c>
      <c r="J131">
        <v>34.47</v>
      </c>
      <c r="K131">
        <v>0</v>
      </c>
      <c r="L131">
        <v>0.65759999999999996</v>
      </c>
      <c r="M131">
        <v>1.91</v>
      </c>
      <c r="N131">
        <v>41</v>
      </c>
      <c r="O131">
        <v>1</v>
      </c>
      <c r="P131">
        <v>100</v>
      </c>
      <c r="Q131">
        <v>1</v>
      </c>
    </row>
    <row r="132" spans="1:17">
      <c r="A132" t="s">
        <v>120</v>
      </c>
      <c r="B132" t="s">
        <v>0</v>
      </c>
      <c r="C132" t="s">
        <v>265</v>
      </c>
      <c r="D132" t="s">
        <v>133</v>
      </c>
      <c r="E132" s="5">
        <v>45819.23636574074</v>
      </c>
      <c r="F132">
        <v>1</v>
      </c>
      <c r="G132">
        <v>2</v>
      </c>
      <c r="H132" t="s">
        <v>0</v>
      </c>
      <c r="I132">
        <v>34.93</v>
      </c>
      <c r="J132">
        <v>34.47</v>
      </c>
      <c r="K132">
        <v>0</v>
      </c>
      <c r="L132">
        <v>0.65759999999999996</v>
      </c>
      <c r="M132">
        <v>1.91</v>
      </c>
      <c r="N132">
        <v>41</v>
      </c>
      <c r="O132">
        <v>0</v>
      </c>
      <c r="P132">
        <v>100</v>
      </c>
      <c r="Q132">
        <v>1</v>
      </c>
    </row>
    <row r="133" spans="1:17">
      <c r="A133" t="s">
        <v>120</v>
      </c>
      <c r="B133" t="s">
        <v>0</v>
      </c>
      <c r="C133" t="s">
        <v>265</v>
      </c>
      <c r="D133" t="s">
        <v>133</v>
      </c>
      <c r="E133" s="5">
        <v>45819.23846064815</v>
      </c>
      <c r="F133">
        <v>1</v>
      </c>
      <c r="G133">
        <v>3</v>
      </c>
      <c r="H133" t="s">
        <v>0</v>
      </c>
      <c r="I133">
        <v>34</v>
      </c>
      <c r="J133">
        <v>34.47</v>
      </c>
      <c r="K133">
        <v>0</v>
      </c>
      <c r="L133">
        <v>0.65759999999999996</v>
      </c>
      <c r="M133">
        <v>1.91</v>
      </c>
      <c r="N133">
        <v>41</v>
      </c>
      <c r="O133">
        <v>0</v>
      </c>
      <c r="P133">
        <v>100</v>
      </c>
      <c r="Q133">
        <v>1</v>
      </c>
    </row>
    <row r="134" spans="1:17">
      <c r="A134" t="s">
        <v>120</v>
      </c>
      <c r="B134" t="s">
        <v>0</v>
      </c>
      <c r="C134" t="s">
        <v>266</v>
      </c>
      <c r="D134" t="s">
        <v>133</v>
      </c>
      <c r="E134" s="5">
        <v>45819.245949074073</v>
      </c>
      <c r="F134">
        <v>1</v>
      </c>
      <c r="G134">
        <v>1</v>
      </c>
      <c r="H134" t="s">
        <v>0</v>
      </c>
      <c r="I134">
        <v>33.700000000000003</v>
      </c>
      <c r="J134">
        <v>30.75</v>
      </c>
      <c r="K134">
        <v>0</v>
      </c>
      <c r="L134">
        <v>0.43130000000000002</v>
      </c>
      <c r="M134">
        <v>1.4</v>
      </c>
      <c r="N134">
        <v>42</v>
      </c>
      <c r="O134">
        <v>1</v>
      </c>
      <c r="P134">
        <v>100</v>
      </c>
      <c r="Q134">
        <v>1</v>
      </c>
    </row>
    <row r="135" spans="1:17">
      <c r="A135" t="s">
        <v>120</v>
      </c>
      <c r="B135" t="s">
        <v>0</v>
      </c>
      <c r="C135" t="s">
        <v>266</v>
      </c>
      <c r="D135" t="s">
        <v>133</v>
      </c>
      <c r="E135" s="5">
        <v>45819.248043981483</v>
      </c>
      <c r="F135">
        <v>1</v>
      </c>
      <c r="G135">
        <v>2</v>
      </c>
      <c r="H135" t="s">
        <v>0</v>
      </c>
      <c r="I135">
        <v>31.05</v>
      </c>
      <c r="J135">
        <v>30.75</v>
      </c>
      <c r="K135">
        <v>0</v>
      </c>
      <c r="L135">
        <v>0.43130000000000002</v>
      </c>
      <c r="M135">
        <v>1.4</v>
      </c>
      <c r="N135">
        <v>42</v>
      </c>
      <c r="O135">
        <v>0</v>
      </c>
      <c r="P135">
        <v>100</v>
      </c>
      <c r="Q135">
        <v>1</v>
      </c>
    </row>
    <row r="136" spans="1:17">
      <c r="A136" t="s">
        <v>120</v>
      </c>
      <c r="B136" t="s">
        <v>0</v>
      </c>
      <c r="C136" t="s">
        <v>266</v>
      </c>
      <c r="D136" t="s">
        <v>133</v>
      </c>
      <c r="E136" s="5">
        <v>45819.250173611108</v>
      </c>
      <c r="F136">
        <v>1</v>
      </c>
      <c r="G136">
        <v>3</v>
      </c>
      <c r="H136" t="s">
        <v>0</v>
      </c>
      <c r="I136">
        <v>30.44</v>
      </c>
      <c r="J136">
        <v>30.75</v>
      </c>
      <c r="K136">
        <v>0</v>
      </c>
      <c r="L136">
        <v>0.43130000000000002</v>
      </c>
      <c r="M136">
        <v>1.4</v>
      </c>
      <c r="N136">
        <v>42</v>
      </c>
      <c r="O136">
        <v>0</v>
      </c>
      <c r="P136">
        <v>100</v>
      </c>
      <c r="Q136">
        <v>1</v>
      </c>
    </row>
    <row r="137" spans="1:17">
      <c r="A137" t="s">
        <v>120</v>
      </c>
      <c r="B137" t="s">
        <v>0</v>
      </c>
      <c r="C137" t="s">
        <v>267</v>
      </c>
      <c r="D137" t="s">
        <v>133</v>
      </c>
      <c r="E137" s="5">
        <v>45819.258148148147</v>
      </c>
      <c r="F137">
        <v>1</v>
      </c>
      <c r="G137">
        <v>1</v>
      </c>
      <c r="H137" t="s">
        <v>0</v>
      </c>
      <c r="I137">
        <v>75.44</v>
      </c>
      <c r="J137">
        <v>71.41</v>
      </c>
      <c r="K137">
        <v>0</v>
      </c>
      <c r="L137">
        <v>0.42430000000000001</v>
      </c>
      <c r="M137">
        <v>0.59</v>
      </c>
      <c r="N137">
        <v>12</v>
      </c>
      <c r="O137">
        <v>1</v>
      </c>
      <c r="P137">
        <v>100</v>
      </c>
      <c r="Q137">
        <v>1</v>
      </c>
    </row>
    <row r="138" spans="1:17">
      <c r="A138" t="s">
        <v>120</v>
      </c>
      <c r="B138" t="s">
        <v>0</v>
      </c>
      <c r="C138" t="s">
        <v>267</v>
      </c>
      <c r="D138" t="s">
        <v>133</v>
      </c>
      <c r="E138" s="5">
        <v>45819.260428240741</v>
      </c>
      <c r="F138">
        <v>1</v>
      </c>
      <c r="G138">
        <v>2</v>
      </c>
      <c r="H138" t="s">
        <v>0</v>
      </c>
      <c r="I138">
        <v>71.709999999999994</v>
      </c>
      <c r="J138">
        <v>71.41</v>
      </c>
      <c r="K138">
        <v>0</v>
      </c>
      <c r="L138">
        <v>0.42430000000000001</v>
      </c>
      <c r="M138">
        <v>0.59</v>
      </c>
      <c r="N138">
        <v>12</v>
      </c>
      <c r="O138">
        <v>0</v>
      </c>
      <c r="P138">
        <v>100</v>
      </c>
      <c r="Q138">
        <v>1</v>
      </c>
    </row>
    <row r="139" spans="1:17">
      <c r="A139" t="s">
        <v>120</v>
      </c>
      <c r="B139" t="s">
        <v>0</v>
      </c>
      <c r="C139" t="s">
        <v>267</v>
      </c>
      <c r="D139" t="s">
        <v>133</v>
      </c>
      <c r="E139" s="5">
        <v>45819.262638888889</v>
      </c>
      <c r="F139">
        <v>1</v>
      </c>
      <c r="G139">
        <v>3</v>
      </c>
      <c r="H139" t="s">
        <v>0</v>
      </c>
      <c r="I139">
        <v>71.11</v>
      </c>
      <c r="J139">
        <v>71.41</v>
      </c>
      <c r="K139">
        <v>0</v>
      </c>
      <c r="L139">
        <v>0.42430000000000001</v>
      </c>
      <c r="M139">
        <v>0.59</v>
      </c>
      <c r="N139">
        <v>12</v>
      </c>
      <c r="O139">
        <v>0</v>
      </c>
      <c r="P139">
        <v>100</v>
      </c>
      <c r="Q139">
        <v>1</v>
      </c>
    </row>
    <row r="140" spans="1:17">
      <c r="A140" t="s">
        <v>120</v>
      </c>
      <c r="B140" t="s">
        <v>0</v>
      </c>
      <c r="C140" t="s">
        <v>268</v>
      </c>
      <c r="D140" t="s">
        <v>133</v>
      </c>
      <c r="E140" s="5">
        <v>45819.269432870373</v>
      </c>
      <c r="F140">
        <v>1</v>
      </c>
      <c r="G140">
        <v>1</v>
      </c>
      <c r="H140" t="s">
        <v>0</v>
      </c>
      <c r="I140">
        <v>1.167</v>
      </c>
      <c r="J140">
        <v>0.55349999999999999</v>
      </c>
      <c r="K140">
        <v>0</v>
      </c>
      <c r="L140">
        <v>0.1105</v>
      </c>
      <c r="M140">
        <v>19.97</v>
      </c>
      <c r="N140">
        <v>17</v>
      </c>
      <c r="O140">
        <v>1</v>
      </c>
      <c r="P140">
        <v>100</v>
      </c>
      <c r="Q140">
        <v>1</v>
      </c>
    </row>
    <row r="141" spans="1:17">
      <c r="A141" t="s">
        <v>120</v>
      </c>
      <c r="B141" t="s">
        <v>0</v>
      </c>
      <c r="C141" t="s">
        <v>268</v>
      </c>
      <c r="D141" t="s">
        <v>133</v>
      </c>
      <c r="E141" s="5">
        <v>45819.270902777775</v>
      </c>
      <c r="F141">
        <v>1</v>
      </c>
      <c r="G141">
        <v>2</v>
      </c>
      <c r="H141" t="s">
        <v>0</v>
      </c>
      <c r="I141">
        <v>0.63170000000000004</v>
      </c>
      <c r="J141">
        <v>0.55349999999999999</v>
      </c>
      <c r="K141">
        <v>0</v>
      </c>
      <c r="L141">
        <v>0.1105</v>
      </c>
      <c r="M141">
        <v>19.97</v>
      </c>
      <c r="N141">
        <v>17</v>
      </c>
      <c r="O141">
        <v>0</v>
      </c>
      <c r="P141">
        <v>100</v>
      </c>
      <c r="Q141">
        <v>1</v>
      </c>
    </row>
    <row r="142" spans="1:17">
      <c r="A142" t="s">
        <v>120</v>
      </c>
      <c r="B142" t="s">
        <v>0</v>
      </c>
      <c r="C142" t="s">
        <v>268</v>
      </c>
      <c r="D142" t="s">
        <v>133</v>
      </c>
      <c r="E142" s="5">
        <v>45819.272372685184</v>
      </c>
      <c r="F142">
        <v>1</v>
      </c>
      <c r="G142">
        <v>3</v>
      </c>
      <c r="H142" t="s">
        <v>0</v>
      </c>
      <c r="I142">
        <v>0.47539999999999999</v>
      </c>
      <c r="J142">
        <v>0.55349999999999999</v>
      </c>
      <c r="K142">
        <v>0</v>
      </c>
      <c r="L142">
        <v>0.1105</v>
      </c>
      <c r="M142">
        <v>19.97</v>
      </c>
      <c r="N142">
        <v>17</v>
      </c>
      <c r="O142">
        <v>0</v>
      </c>
      <c r="P142">
        <v>100</v>
      </c>
      <c r="Q142">
        <v>1</v>
      </c>
    </row>
    <row r="143" spans="1:17">
      <c r="A143" t="s">
        <v>120</v>
      </c>
      <c r="B143" t="s">
        <v>0</v>
      </c>
      <c r="C143" t="s">
        <v>269</v>
      </c>
      <c r="D143" t="s">
        <v>133</v>
      </c>
      <c r="E143" s="5">
        <v>45819.279733796298</v>
      </c>
      <c r="F143">
        <v>1</v>
      </c>
      <c r="G143">
        <v>1</v>
      </c>
      <c r="H143" t="s">
        <v>0</v>
      </c>
      <c r="I143">
        <v>29.71</v>
      </c>
      <c r="J143">
        <v>29.62</v>
      </c>
      <c r="K143">
        <v>0</v>
      </c>
      <c r="L143">
        <v>0.1273</v>
      </c>
      <c r="M143">
        <v>0.43</v>
      </c>
      <c r="N143">
        <v>49</v>
      </c>
      <c r="O143">
        <v>0</v>
      </c>
      <c r="P143">
        <v>100</v>
      </c>
      <c r="Q143">
        <v>1</v>
      </c>
    </row>
    <row r="144" spans="1:17">
      <c r="A144" t="s">
        <v>120</v>
      </c>
      <c r="B144" t="s">
        <v>0</v>
      </c>
      <c r="C144" t="s">
        <v>269</v>
      </c>
      <c r="D144" t="s">
        <v>133</v>
      </c>
      <c r="E144" s="5">
        <v>45819.281921296293</v>
      </c>
      <c r="F144">
        <v>1</v>
      </c>
      <c r="G144">
        <v>2</v>
      </c>
      <c r="H144" t="s">
        <v>0</v>
      </c>
      <c r="I144">
        <v>29.53</v>
      </c>
      <c r="J144">
        <v>29.62</v>
      </c>
      <c r="K144">
        <v>0</v>
      </c>
      <c r="L144">
        <v>0.1273</v>
      </c>
      <c r="M144">
        <v>0.43</v>
      </c>
      <c r="N144">
        <v>49</v>
      </c>
      <c r="O144">
        <v>0</v>
      </c>
      <c r="P144">
        <v>100</v>
      </c>
      <c r="Q144">
        <v>1</v>
      </c>
    </row>
    <row r="145" spans="1:17">
      <c r="A145" t="s">
        <v>120</v>
      </c>
      <c r="B145" t="s">
        <v>0</v>
      </c>
      <c r="C145" t="s">
        <v>270</v>
      </c>
      <c r="D145" t="s">
        <v>133</v>
      </c>
      <c r="E145" s="5">
        <v>45819.289768518516</v>
      </c>
      <c r="F145">
        <v>1</v>
      </c>
      <c r="G145">
        <v>1</v>
      </c>
      <c r="H145" t="s">
        <v>0</v>
      </c>
      <c r="I145">
        <v>98.37</v>
      </c>
      <c r="J145">
        <v>97.31</v>
      </c>
      <c r="K145">
        <v>0</v>
      </c>
      <c r="L145">
        <v>1.492</v>
      </c>
      <c r="M145">
        <v>1.53</v>
      </c>
      <c r="N145">
        <v>50</v>
      </c>
      <c r="O145">
        <v>0</v>
      </c>
      <c r="P145">
        <v>100</v>
      </c>
      <c r="Q145">
        <v>1</v>
      </c>
    </row>
    <row r="146" spans="1:17">
      <c r="A146" t="s">
        <v>120</v>
      </c>
      <c r="B146" t="s">
        <v>0</v>
      </c>
      <c r="C146" t="s">
        <v>270</v>
      </c>
      <c r="D146" t="s">
        <v>133</v>
      </c>
      <c r="E146" s="5">
        <v>45819.292222222219</v>
      </c>
      <c r="F146">
        <v>1</v>
      </c>
      <c r="G146">
        <v>2</v>
      </c>
      <c r="H146" t="s">
        <v>0</v>
      </c>
      <c r="I146">
        <v>96.26</v>
      </c>
      <c r="J146">
        <v>97.31</v>
      </c>
      <c r="K146">
        <v>0</v>
      </c>
      <c r="L146">
        <v>1.492</v>
      </c>
      <c r="M146">
        <v>1.53</v>
      </c>
      <c r="N146">
        <v>50</v>
      </c>
      <c r="O146">
        <v>0</v>
      </c>
      <c r="P146">
        <v>100</v>
      </c>
      <c r="Q146">
        <v>1</v>
      </c>
    </row>
    <row r="147" spans="1:17">
      <c r="A147" t="s">
        <v>120</v>
      </c>
      <c r="B147" t="s">
        <v>0</v>
      </c>
      <c r="C147" t="s">
        <v>87</v>
      </c>
      <c r="D147" t="s">
        <v>133</v>
      </c>
      <c r="E147" s="5">
        <v>45819.299456018518</v>
      </c>
      <c r="F147">
        <v>1</v>
      </c>
      <c r="G147">
        <v>1</v>
      </c>
      <c r="H147" t="s">
        <v>0</v>
      </c>
      <c r="I147">
        <v>5.2320000000000002</v>
      </c>
      <c r="J147">
        <v>1.4850000000000001</v>
      </c>
      <c r="K147">
        <v>0</v>
      </c>
      <c r="L147">
        <v>0.71260000000000001</v>
      </c>
      <c r="M147">
        <v>47.98</v>
      </c>
      <c r="N147">
        <v>1</v>
      </c>
      <c r="O147">
        <v>1</v>
      </c>
      <c r="P147">
        <v>100</v>
      </c>
      <c r="Q147">
        <v>1</v>
      </c>
    </row>
    <row r="148" spans="1:17">
      <c r="A148" t="s">
        <v>120</v>
      </c>
      <c r="B148" t="s">
        <v>0</v>
      </c>
      <c r="C148" t="s">
        <v>87</v>
      </c>
      <c r="D148" t="s">
        <v>133</v>
      </c>
      <c r="E148" s="5">
        <v>45819.300949074073</v>
      </c>
      <c r="F148">
        <v>1</v>
      </c>
      <c r="G148">
        <v>2</v>
      </c>
      <c r="H148" t="s">
        <v>0</v>
      </c>
      <c r="I148">
        <v>1.9890000000000001</v>
      </c>
      <c r="J148">
        <v>1.4850000000000001</v>
      </c>
      <c r="K148">
        <v>0</v>
      </c>
      <c r="L148">
        <v>0.71260000000000001</v>
      </c>
      <c r="M148">
        <v>47.98</v>
      </c>
      <c r="N148">
        <v>1</v>
      </c>
      <c r="O148">
        <v>0</v>
      </c>
      <c r="P148">
        <v>100</v>
      </c>
      <c r="Q148">
        <v>1</v>
      </c>
    </row>
    <row r="149" spans="1:17">
      <c r="A149" t="s">
        <v>120</v>
      </c>
      <c r="B149" t="s">
        <v>0</v>
      </c>
      <c r="C149" t="s">
        <v>87</v>
      </c>
      <c r="D149" t="s">
        <v>133</v>
      </c>
      <c r="E149" s="5">
        <v>45819.302418981482</v>
      </c>
      <c r="F149">
        <v>1</v>
      </c>
      <c r="G149">
        <v>3</v>
      </c>
      <c r="H149" t="s">
        <v>0</v>
      </c>
      <c r="I149">
        <v>0.98129999999999995</v>
      </c>
      <c r="J149">
        <v>1.4850000000000001</v>
      </c>
      <c r="K149">
        <v>0</v>
      </c>
      <c r="L149">
        <v>0.71260000000000001</v>
      </c>
      <c r="M149">
        <v>47.98</v>
      </c>
      <c r="N149">
        <v>1</v>
      </c>
      <c r="O149">
        <v>0</v>
      </c>
      <c r="P149">
        <v>100</v>
      </c>
      <c r="Q149">
        <v>1</v>
      </c>
    </row>
    <row r="150" spans="1:17">
      <c r="A150" t="s">
        <v>120</v>
      </c>
      <c r="B150" t="s">
        <v>0</v>
      </c>
      <c r="C150" t="s">
        <v>271</v>
      </c>
      <c r="D150" t="s">
        <v>133</v>
      </c>
      <c r="E150" s="5">
        <v>45819.310798611114</v>
      </c>
      <c r="F150">
        <v>1</v>
      </c>
      <c r="G150">
        <v>1</v>
      </c>
      <c r="H150" t="s">
        <v>0</v>
      </c>
      <c r="I150">
        <v>1272</v>
      </c>
      <c r="J150">
        <v>1268</v>
      </c>
      <c r="K150">
        <v>0</v>
      </c>
      <c r="L150">
        <v>6.3639999999999999</v>
      </c>
      <c r="M150">
        <v>0.5</v>
      </c>
      <c r="N150">
        <v>51</v>
      </c>
      <c r="O150">
        <v>0</v>
      </c>
      <c r="P150">
        <v>100</v>
      </c>
      <c r="Q150">
        <v>1</v>
      </c>
    </row>
    <row r="151" spans="1:17">
      <c r="A151" t="s">
        <v>120</v>
      </c>
      <c r="B151" t="s">
        <v>0</v>
      </c>
      <c r="C151" t="s">
        <v>271</v>
      </c>
      <c r="D151" t="s">
        <v>133</v>
      </c>
      <c r="E151" s="5">
        <v>45819.313831018517</v>
      </c>
      <c r="F151">
        <v>1</v>
      </c>
      <c r="G151">
        <v>2</v>
      </c>
      <c r="H151" t="s">
        <v>0</v>
      </c>
      <c r="I151">
        <v>1263</v>
      </c>
      <c r="J151">
        <v>1268</v>
      </c>
      <c r="K151">
        <v>0</v>
      </c>
      <c r="L151">
        <v>6.3639999999999999</v>
      </c>
      <c r="M151">
        <v>0.5</v>
      </c>
      <c r="N151">
        <v>51</v>
      </c>
      <c r="O151">
        <v>0</v>
      </c>
      <c r="P151">
        <v>100</v>
      </c>
      <c r="Q151">
        <v>1</v>
      </c>
    </row>
    <row r="152" spans="1:17">
      <c r="A152" t="s">
        <v>120</v>
      </c>
      <c r="B152" t="s">
        <v>0</v>
      </c>
      <c r="C152" t="s">
        <v>272</v>
      </c>
      <c r="D152" t="s">
        <v>133</v>
      </c>
      <c r="E152" s="5">
        <v>45819.321909722225</v>
      </c>
      <c r="F152">
        <v>1</v>
      </c>
      <c r="G152">
        <v>1</v>
      </c>
      <c r="H152" t="s">
        <v>0</v>
      </c>
      <c r="I152">
        <v>202.3</v>
      </c>
      <c r="J152">
        <v>201.4</v>
      </c>
      <c r="K152">
        <v>0</v>
      </c>
      <c r="L152">
        <v>1.3440000000000001</v>
      </c>
      <c r="M152">
        <v>0.67</v>
      </c>
      <c r="N152">
        <v>52</v>
      </c>
      <c r="O152">
        <v>0</v>
      </c>
      <c r="P152">
        <v>100</v>
      </c>
      <c r="Q152">
        <v>1</v>
      </c>
    </row>
    <row r="153" spans="1:17">
      <c r="A153" t="s">
        <v>120</v>
      </c>
      <c r="B153" t="s">
        <v>0</v>
      </c>
      <c r="C153" t="s">
        <v>272</v>
      </c>
      <c r="D153" t="s">
        <v>133</v>
      </c>
      <c r="E153" s="5">
        <v>45819.324537037035</v>
      </c>
      <c r="F153">
        <v>1</v>
      </c>
      <c r="G153">
        <v>2</v>
      </c>
      <c r="H153" t="s">
        <v>0</v>
      </c>
      <c r="I153">
        <v>200.4</v>
      </c>
      <c r="J153">
        <v>201.4</v>
      </c>
      <c r="K153">
        <v>0</v>
      </c>
      <c r="L153">
        <v>1.3440000000000001</v>
      </c>
      <c r="M153">
        <v>0.67</v>
      </c>
      <c r="N153">
        <v>52</v>
      </c>
      <c r="O153">
        <v>0</v>
      </c>
      <c r="P153">
        <v>100</v>
      </c>
      <c r="Q153">
        <v>1</v>
      </c>
    </row>
    <row r="154" spans="1:17">
      <c r="A154" t="s">
        <v>120</v>
      </c>
      <c r="B154" t="s">
        <v>0</v>
      </c>
      <c r="C154" t="s">
        <v>273</v>
      </c>
      <c r="D154" t="s">
        <v>133</v>
      </c>
      <c r="E154" s="5">
        <v>45819.332754629628</v>
      </c>
      <c r="F154">
        <v>1</v>
      </c>
      <c r="G154">
        <v>1</v>
      </c>
      <c r="H154" t="s">
        <v>0</v>
      </c>
      <c r="I154">
        <v>142.19999999999999</v>
      </c>
      <c r="J154">
        <v>140.4</v>
      </c>
      <c r="K154">
        <v>0</v>
      </c>
      <c r="L154">
        <v>2.6160000000000001</v>
      </c>
      <c r="M154">
        <v>1.86</v>
      </c>
      <c r="N154">
        <v>53</v>
      </c>
      <c r="O154">
        <v>0</v>
      </c>
      <c r="P154">
        <v>100</v>
      </c>
      <c r="Q154">
        <v>1</v>
      </c>
    </row>
    <row r="155" spans="1:17">
      <c r="A155" t="s">
        <v>120</v>
      </c>
      <c r="B155" t="s">
        <v>0</v>
      </c>
      <c r="C155" t="s">
        <v>273</v>
      </c>
      <c r="D155" t="s">
        <v>133</v>
      </c>
      <c r="E155" s="5">
        <v>45819.335289351853</v>
      </c>
      <c r="F155">
        <v>1</v>
      </c>
      <c r="G155">
        <v>2</v>
      </c>
      <c r="H155" t="s">
        <v>0</v>
      </c>
      <c r="I155">
        <v>138.5</v>
      </c>
      <c r="J155">
        <v>140.4</v>
      </c>
      <c r="K155">
        <v>0</v>
      </c>
      <c r="L155">
        <v>2.6160000000000001</v>
      </c>
      <c r="M155">
        <v>1.86</v>
      </c>
      <c r="N155">
        <v>53</v>
      </c>
      <c r="O155">
        <v>0</v>
      </c>
      <c r="P155">
        <v>100</v>
      </c>
      <c r="Q155">
        <v>1</v>
      </c>
    </row>
    <row r="156" spans="1:17">
      <c r="A156" t="s">
        <v>120</v>
      </c>
      <c r="B156" t="s">
        <v>0</v>
      </c>
      <c r="C156" t="s">
        <v>274</v>
      </c>
      <c r="D156" t="s">
        <v>133</v>
      </c>
      <c r="E156" s="5">
        <v>45819.343368055554</v>
      </c>
      <c r="F156">
        <v>1</v>
      </c>
      <c r="G156">
        <v>1</v>
      </c>
      <c r="H156" t="s">
        <v>0</v>
      </c>
      <c r="I156">
        <v>58.59</v>
      </c>
      <c r="J156">
        <v>58.05</v>
      </c>
      <c r="K156">
        <v>0</v>
      </c>
      <c r="L156">
        <v>0.76370000000000005</v>
      </c>
      <c r="M156">
        <v>1.32</v>
      </c>
      <c r="N156">
        <v>54</v>
      </c>
      <c r="O156">
        <v>0</v>
      </c>
      <c r="P156">
        <v>100</v>
      </c>
      <c r="Q156">
        <v>1</v>
      </c>
    </row>
    <row r="157" spans="1:17">
      <c r="A157" t="s">
        <v>120</v>
      </c>
      <c r="B157" t="s">
        <v>0</v>
      </c>
      <c r="C157" t="s">
        <v>274</v>
      </c>
      <c r="D157" t="s">
        <v>133</v>
      </c>
      <c r="E157" s="5">
        <v>45819.345763888887</v>
      </c>
      <c r="F157">
        <v>1</v>
      </c>
      <c r="G157">
        <v>2</v>
      </c>
      <c r="H157" t="s">
        <v>0</v>
      </c>
      <c r="I157">
        <v>57.51</v>
      </c>
      <c r="J157">
        <v>58.05</v>
      </c>
      <c r="K157">
        <v>0</v>
      </c>
      <c r="L157">
        <v>0.76370000000000005</v>
      </c>
      <c r="M157">
        <v>1.32</v>
      </c>
      <c r="N157">
        <v>54</v>
      </c>
      <c r="O157">
        <v>0</v>
      </c>
      <c r="P157">
        <v>100</v>
      </c>
      <c r="Q157">
        <v>1</v>
      </c>
    </row>
    <row r="158" spans="1:17">
      <c r="A158" t="s">
        <v>120</v>
      </c>
      <c r="B158" t="s">
        <v>0</v>
      </c>
      <c r="C158" t="s">
        <v>275</v>
      </c>
      <c r="D158" t="s">
        <v>133</v>
      </c>
      <c r="E158" s="5">
        <v>45819.353518518517</v>
      </c>
      <c r="F158">
        <v>1</v>
      </c>
      <c r="G158">
        <v>1</v>
      </c>
      <c r="H158" t="s">
        <v>0</v>
      </c>
      <c r="I158">
        <v>33.43</v>
      </c>
      <c r="J158">
        <v>33.04</v>
      </c>
      <c r="K158">
        <v>0</v>
      </c>
      <c r="L158">
        <v>0.55149999999999999</v>
      </c>
      <c r="M158">
        <v>1.67</v>
      </c>
      <c r="N158">
        <v>55</v>
      </c>
      <c r="O158">
        <v>0</v>
      </c>
      <c r="P158">
        <v>100</v>
      </c>
      <c r="Q158">
        <v>1</v>
      </c>
    </row>
    <row r="159" spans="1:17">
      <c r="A159" t="s">
        <v>120</v>
      </c>
      <c r="B159" t="s">
        <v>0</v>
      </c>
      <c r="C159" t="s">
        <v>275</v>
      </c>
      <c r="D159" t="s">
        <v>133</v>
      </c>
      <c r="E159" s="5">
        <v>45819.355729166666</v>
      </c>
      <c r="F159">
        <v>1</v>
      </c>
      <c r="G159">
        <v>2</v>
      </c>
      <c r="H159" t="s">
        <v>0</v>
      </c>
      <c r="I159">
        <v>32.65</v>
      </c>
      <c r="J159">
        <v>33.04</v>
      </c>
      <c r="K159">
        <v>0</v>
      </c>
      <c r="L159">
        <v>0.55149999999999999</v>
      </c>
      <c r="M159">
        <v>1.67</v>
      </c>
      <c r="N159">
        <v>55</v>
      </c>
      <c r="O159">
        <v>0</v>
      </c>
      <c r="P159">
        <v>100</v>
      </c>
      <c r="Q159">
        <v>1</v>
      </c>
    </row>
    <row r="160" spans="1:17">
      <c r="A160" t="s">
        <v>120</v>
      </c>
      <c r="B160" t="s">
        <v>0</v>
      </c>
      <c r="C160" t="s">
        <v>276</v>
      </c>
      <c r="D160" t="s">
        <v>133</v>
      </c>
      <c r="E160" s="5">
        <v>45819.362997685188</v>
      </c>
      <c r="F160">
        <v>1</v>
      </c>
      <c r="G160">
        <v>1</v>
      </c>
      <c r="H160" t="s">
        <v>0</v>
      </c>
      <c r="I160">
        <v>19.12</v>
      </c>
      <c r="J160">
        <v>18.48</v>
      </c>
      <c r="K160">
        <v>0</v>
      </c>
      <c r="L160">
        <v>0.2828</v>
      </c>
      <c r="M160">
        <v>1.53</v>
      </c>
      <c r="N160">
        <v>56</v>
      </c>
      <c r="O160">
        <v>1</v>
      </c>
      <c r="P160">
        <v>100</v>
      </c>
      <c r="Q160">
        <v>1</v>
      </c>
    </row>
    <row r="161" spans="1:17">
      <c r="A161" t="s">
        <v>120</v>
      </c>
      <c r="B161" t="s">
        <v>0</v>
      </c>
      <c r="C161" t="s">
        <v>276</v>
      </c>
      <c r="D161" t="s">
        <v>133</v>
      </c>
      <c r="E161" s="5">
        <v>45819.364965277775</v>
      </c>
      <c r="F161">
        <v>1</v>
      </c>
      <c r="G161">
        <v>2</v>
      </c>
      <c r="H161" t="s">
        <v>0</v>
      </c>
      <c r="I161">
        <v>18.28</v>
      </c>
      <c r="J161">
        <v>18.48</v>
      </c>
      <c r="K161">
        <v>0</v>
      </c>
      <c r="L161">
        <v>0.2828</v>
      </c>
      <c r="M161">
        <v>1.53</v>
      </c>
      <c r="N161">
        <v>56</v>
      </c>
      <c r="O161">
        <v>0</v>
      </c>
      <c r="P161">
        <v>100</v>
      </c>
      <c r="Q161">
        <v>1</v>
      </c>
    </row>
    <row r="162" spans="1:17">
      <c r="A162" t="s">
        <v>120</v>
      </c>
      <c r="B162" t="s">
        <v>0</v>
      </c>
      <c r="C162" t="s">
        <v>276</v>
      </c>
      <c r="D162" t="s">
        <v>133</v>
      </c>
      <c r="E162" s="5">
        <v>45819.367013888892</v>
      </c>
      <c r="F162">
        <v>1</v>
      </c>
      <c r="G162">
        <v>3</v>
      </c>
      <c r="H162" t="s">
        <v>0</v>
      </c>
      <c r="I162">
        <v>18.68</v>
      </c>
      <c r="J162">
        <v>18.48</v>
      </c>
      <c r="K162">
        <v>0</v>
      </c>
      <c r="L162">
        <v>0.2828</v>
      </c>
      <c r="M162">
        <v>1.53</v>
      </c>
      <c r="N162">
        <v>56</v>
      </c>
      <c r="O162">
        <v>0</v>
      </c>
      <c r="P162">
        <v>100</v>
      </c>
      <c r="Q162">
        <v>1</v>
      </c>
    </row>
    <row r="163" spans="1:17">
      <c r="A163" t="s">
        <v>120</v>
      </c>
      <c r="B163" t="s">
        <v>0</v>
      </c>
      <c r="C163" t="s">
        <v>277</v>
      </c>
      <c r="D163" t="s">
        <v>133</v>
      </c>
      <c r="E163" s="5">
        <v>45819.374328703707</v>
      </c>
      <c r="F163">
        <v>1</v>
      </c>
      <c r="G163">
        <v>1</v>
      </c>
      <c r="H163" t="s">
        <v>0</v>
      </c>
      <c r="I163">
        <v>13.55</v>
      </c>
      <c r="J163">
        <v>12.57</v>
      </c>
      <c r="K163">
        <v>0</v>
      </c>
      <c r="L163">
        <v>0.19800000000000001</v>
      </c>
      <c r="M163">
        <v>1.58</v>
      </c>
      <c r="N163">
        <v>57</v>
      </c>
      <c r="O163">
        <v>1</v>
      </c>
      <c r="P163">
        <v>100</v>
      </c>
      <c r="Q163">
        <v>1</v>
      </c>
    </row>
    <row r="164" spans="1:17">
      <c r="A164" t="s">
        <v>120</v>
      </c>
      <c r="B164" t="s">
        <v>0</v>
      </c>
      <c r="C164" t="s">
        <v>277</v>
      </c>
      <c r="D164" t="s">
        <v>133</v>
      </c>
      <c r="E164" s="5">
        <v>45819.376226851855</v>
      </c>
      <c r="F164">
        <v>1</v>
      </c>
      <c r="G164">
        <v>2</v>
      </c>
      <c r="H164" t="s">
        <v>0</v>
      </c>
      <c r="I164">
        <v>12.43</v>
      </c>
      <c r="J164">
        <v>12.57</v>
      </c>
      <c r="K164">
        <v>0</v>
      </c>
      <c r="L164">
        <v>0.19800000000000001</v>
      </c>
      <c r="M164">
        <v>1.58</v>
      </c>
      <c r="N164">
        <v>57</v>
      </c>
      <c r="O164">
        <v>0</v>
      </c>
      <c r="P164">
        <v>100</v>
      </c>
      <c r="Q164">
        <v>1</v>
      </c>
    </row>
    <row r="165" spans="1:17">
      <c r="A165" t="s">
        <v>120</v>
      </c>
      <c r="B165" t="s">
        <v>0</v>
      </c>
      <c r="C165" t="s">
        <v>277</v>
      </c>
      <c r="D165" t="s">
        <v>133</v>
      </c>
      <c r="E165" s="5">
        <v>45819.378067129626</v>
      </c>
      <c r="F165">
        <v>1</v>
      </c>
      <c r="G165">
        <v>3</v>
      </c>
      <c r="H165" t="s">
        <v>0</v>
      </c>
      <c r="I165">
        <v>12.71</v>
      </c>
      <c r="J165">
        <v>12.57</v>
      </c>
      <c r="K165">
        <v>0</v>
      </c>
      <c r="L165">
        <v>0.19800000000000001</v>
      </c>
      <c r="M165">
        <v>1.58</v>
      </c>
      <c r="N165">
        <v>57</v>
      </c>
      <c r="O165">
        <v>0</v>
      </c>
      <c r="P165">
        <v>100</v>
      </c>
      <c r="Q165">
        <v>1</v>
      </c>
    </row>
    <row r="166" spans="1:17">
      <c r="A166" t="s">
        <v>120</v>
      </c>
      <c r="B166" t="s">
        <v>0</v>
      </c>
      <c r="C166" t="s">
        <v>278</v>
      </c>
      <c r="D166" t="s">
        <v>133</v>
      </c>
      <c r="E166" s="5">
        <v>45819.385034722225</v>
      </c>
      <c r="F166">
        <v>1</v>
      </c>
      <c r="G166">
        <v>1</v>
      </c>
      <c r="H166" t="s">
        <v>0</v>
      </c>
      <c r="I166">
        <v>6.1870000000000003</v>
      </c>
      <c r="J166">
        <v>5.7949999999999999</v>
      </c>
      <c r="K166">
        <v>0</v>
      </c>
      <c r="L166">
        <v>4.0309999999999999E-2</v>
      </c>
      <c r="M166">
        <v>0.7</v>
      </c>
      <c r="N166">
        <v>58</v>
      </c>
      <c r="O166">
        <v>1</v>
      </c>
      <c r="P166">
        <v>100</v>
      </c>
      <c r="Q166">
        <v>1</v>
      </c>
    </row>
    <row r="167" spans="1:17">
      <c r="A167" t="s">
        <v>120</v>
      </c>
      <c r="B167" t="s">
        <v>0</v>
      </c>
      <c r="C167" t="s">
        <v>278</v>
      </c>
      <c r="D167" t="s">
        <v>133</v>
      </c>
      <c r="E167" s="5">
        <v>45819.386689814812</v>
      </c>
      <c r="F167">
        <v>1</v>
      </c>
      <c r="G167">
        <v>2</v>
      </c>
      <c r="H167" t="s">
        <v>0</v>
      </c>
      <c r="I167">
        <v>5.766</v>
      </c>
      <c r="J167">
        <v>5.7949999999999999</v>
      </c>
      <c r="K167">
        <v>0</v>
      </c>
      <c r="L167">
        <v>4.0309999999999999E-2</v>
      </c>
      <c r="M167">
        <v>0.7</v>
      </c>
      <c r="N167">
        <v>58</v>
      </c>
      <c r="O167">
        <v>0</v>
      </c>
      <c r="P167">
        <v>100</v>
      </c>
      <c r="Q167">
        <v>1</v>
      </c>
    </row>
    <row r="168" spans="1:17">
      <c r="A168" t="s">
        <v>120</v>
      </c>
      <c r="B168" t="s">
        <v>0</v>
      </c>
      <c r="C168" t="s">
        <v>278</v>
      </c>
      <c r="D168" t="s">
        <v>133</v>
      </c>
      <c r="E168" s="5">
        <v>45819.388356481482</v>
      </c>
      <c r="F168">
        <v>1</v>
      </c>
      <c r="G168">
        <v>3</v>
      </c>
      <c r="H168" t="s">
        <v>0</v>
      </c>
      <c r="I168">
        <v>5.8230000000000004</v>
      </c>
      <c r="J168">
        <v>5.7949999999999999</v>
      </c>
      <c r="K168">
        <v>0</v>
      </c>
      <c r="L168">
        <v>4.0309999999999999E-2</v>
      </c>
      <c r="M168">
        <v>0.7</v>
      </c>
      <c r="N168">
        <v>58</v>
      </c>
      <c r="O168">
        <v>0</v>
      </c>
      <c r="P168">
        <v>100</v>
      </c>
      <c r="Q168">
        <v>1</v>
      </c>
    </row>
    <row r="169" spans="1:17">
      <c r="A169" t="s">
        <v>120</v>
      </c>
      <c r="B169" t="s">
        <v>0</v>
      </c>
      <c r="C169" t="s">
        <v>279</v>
      </c>
      <c r="D169" t="s">
        <v>133</v>
      </c>
      <c r="E169" s="5">
        <v>45819.395185185182</v>
      </c>
      <c r="F169">
        <v>1</v>
      </c>
      <c r="G169">
        <v>1</v>
      </c>
      <c r="H169" t="s">
        <v>0</v>
      </c>
      <c r="I169">
        <v>3.3660000000000001</v>
      </c>
      <c r="J169">
        <v>3.1970000000000001</v>
      </c>
      <c r="K169">
        <v>0</v>
      </c>
      <c r="L169">
        <v>6.3600000000000002E-3</v>
      </c>
      <c r="M169">
        <v>0.2</v>
      </c>
      <c r="N169">
        <v>59</v>
      </c>
      <c r="O169">
        <v>1</v>
      </c>
      <c r="P169">
        <v>100</v>
      </c>
      <c r="Q169">
        <v>1</v>
      </c>
    </row>
    <row r="170" spans="1:17">
      <c r="A170" t="s">
        <v>120</v>
      </c>
      <c r="B170" t="s">
        <v>0</v>
      </c>
      <c r="C170" t="s">
        <v>279</v>
      </c>
      <c r="D170" t="s">
        <v>133</v>
      </c>
      <c r="E170" s="5">
        <v>45819.396805555552</v>
      </c>
      <c r="F170">
        <v>1</v>
      </c>
      <c r="G170">
        <v>2</v>
      </c>
      <c r="H170" t="s">
        <v>0</v>
      </c>
      <c r="I170">
        <v>3.2010000000000001</v>
      </c>
      <c r="J170">
        <v>3.1970000000000001</v>
      </c>
      <c r="K170">
        <v>0</v>
      </c>
      <c r="L170">
        <v>6.3600000000000002E-3</v>
      </c>
      <c r="M170">
        <v>0.2</v>
      </c>
      <c r="N170">
        <v>59</v>
      </c>
      <c r="O170">
        <v>0</v>
      </c>
      <c r="P170">
        <v>100</v>
      </c>
      <c r="Q170">
        <v>1</v>
      </c>
    </row>
    <row r="171" spans="1:17">
      <c r="A171" t="s">
        <v>120</v>
      </c>
      <c r="B171" t="s">
        <v>0</v>
      </c>
      <c r="C171" t="s">
        <v>279</v>
      </c>
      <c r="D171" t="s">
        <v>133</v>
      </c>
      <c r="E171" s="5">
        <v>45819.3984837963</v>
      </c>
      <c r="F171">
        <v>1</v>
      </c>
      <c r="G171">
        <v>3</v>
      </c>
      <c r="H171" t="s">
        <v>0</v>
      </c>
      <c r="I171">
        <v>3.1920000000000002</v>
      </c>
      <c r="J171">
        <v>3.1970000000000001</v>
      </c>
      <c r="K171">
        <v>0</v>
      </c>
      <c r="L171">
        <v>6.3600000000000002E-3</v>
      </c>
      <c r="M171">
        <v>0.2</v>
      </c>
      <c r="N171">
        <v>59</v>
      </c>
      <c r="O171">
        <v>0</v>
      </c>
      <c r="P171">
        <v>100</v>
      </c>
      <c r="Q171">
        <v>1</v>
      </c>
    </row>
    <row r="172" spans="1:17">
      <c r="A172" t="s">
        <v>120</v>
      </c>
      <c r="B172" t="s">
        <v>0</v>
      </c>
      <c r="C172" t="s">
        <v>280</v>
      </c>
      <c r="D172" t="s">
        <v>133</v>
      </c>
      <c r="E172" s="5">
        <v>45819.405486111114</v>
      </c>
      <c r="F172">
        <v>1</v>
      </c>
      <c r="G172">
        <v>1</v>
      </c>
      <c r="H172" t="s">
        <v>0</v>
      </c>
      <c r="I172">
        <v>9.2880000000000003</v>
      </c>
      <c r="J172">
        <v>8.9580000000000002</v>
      </c>
      <c r="K172">
        <v>0</v>
      </c>
      <c r="L172">
        <v>7.2120000000000004E-2</v>
      </c>
      <c r="M172">
        <v>0.81</v>
      </c>
      <c r="N172">
        <v>60</v>
      </c>
      <c r="O172">
        <v>1</v>
      </c>
      <c r="P172">
        <v>100</v>
      </c>
      <c r="Q172">
        <v>1</v>
      </c>
    </row>
    <row r="173" spans="1:17">
      <c r="A173" t="s">
        <v>120</v>
      </c>
      <c r="B173" t="s">
        <v>0</v>
      </c>
      <c r="C173" t="s">
        <v>280</v>
      </c>
      <c r="D173" t="s">
        <v>133</v>
      </c>
      <c r="E173" s="5">
        <v>45819.40730324074</v>
      </c>
      <c r="F173">
        <v>1</v>
      </c>
      <c r="G173">
        <v>2</v>
      </c>
      <c r="H173" t="s">
        <v>0</v>
      </c>
      <c r="I173">
        <v>9.0090000000000003</v>
      </c>
      <c r="J173">
        <v>8.9580000000000002</v>
      </c>
      <c r="K173">
        <v>0</v>
      </c>
      <c r="L173">
        <v>7.2120000000000004E-2</v>
      </c>
      <c r="M173">
        <v>0.81</v>
      </c>
      <c r="N173">
        <v>60</v>
      </c>
      <c r="O173">
        <v>0</v>
      </c>
      <c r="P173">
        <v>100</v>
      </c>
      <c r="Q173">
        <v>1</v>
      </c>
    </row>
    <row r="174" spans="1:17">
      <c r="A174" t="s">
        <v>120</v>
      </c>
      <c r="B174" t="s">
        <v>0</v>
      </c>
      <c r="C174" t="s">
        <v>280</v>
      </c>
      <c r="D174" t="s">
        <v>133</v>
      </c>
      <c r="E174" s="5">
        <v>45819.40902777778</v>
      </c>
      <c r="F174">
        <v>1</v>
      </c>
      <c r="G174">
        <v>3</v>
      </c>
      <c r="H174" t="s">
        <v>0</v>
      </c>
      <c r="I174">
        <v>8.907</v>
      </c>
      <c r="J174">
        <v>8.9580000000000002</v>
      </c>
      <c r="K174">
        <v>0</v>
      </c>
      <c r="L174">
        <v>7.2120000000000004E-2</v>
      </c>
      <c r="M174">
        <v>0.81</v>
      </c>
      <c r="N174">
        <v>60</v>
      </c>
      <c r="O174">
        <v>0</v>
      </c>
      <c r="P174">
        <v>100</v>
      </c>
      <c r="Q174">
        <v>1</v>
      </c>
    </row>
    <row r="175" spans="1:17">
      <c r="A175" t="s">
        <v>120</v>
      </c>
      <c r="B175" t="s">
        <v>0</v>
      </c>
      <c r="C175" t="s">
        <v>281</v>
      </c>
      <c r="D175" t="s">
        <v>133</v>
      </c>
      <c r="E175" s="5">
        <v>45819.415891203702</v>
      </c>
      <c r="F175">
        <v>1</v>
      </c>
      <c r="G175">
        <v>1</v>
      </c>
      <c r="H175" t="s">
        <v>0</v>
      </c>
      <c r="I175">
        <v>5.3109999999999999</v>
      </c>
      <c r="J175">
        <v>5.0640000000000001</v>
      </c>
      <c r="K175">
        <v>0</v>
      </c>
      <c r="L175">
        <v>7.5660000000000005E-2</v>
      </c>
      <c r="M175">
        <v>1.49</v>
      </c>
      <c r="N175">
        <v>61</v>
      </c>
      <c r="O175">
        <v>1</v>
      </c>
      <c r="P175">
        <v>100</v>
      </c>
      <c r="Q175">
        <v>1</v>
      </c>
    </row>
    <row r="176" spans="1:17">
      <c r="A176" t="s">
        <v>120</v>
      </c>
      <c r="B176" t="s">
        <v>0</v>
      </c>
      <c r="C176" t="s">
        <v>281</v>
      </c>
      <c r="D176" t="s">
        <v>133</v>
      </c>
      <c r="E176" s="5">
        <v>45819.417569444442</v>
      </c>
      <c r="F176">
        <v>1</v>
      </c>
      <c r="G176">
        <v>2</v>
      </c>
      <c r="H176" t="s">
        <v>0</v>
      </c>
      <c r="I176">
        <v>5.01</v>
      </c>
      <c r="J176">
        <v>5.0640000000000001</v>
      </c>
      <c r="K176">
        <v>0</v>
      </c>
      <c r="L176">
        <v>7.5660000000000005E-2</v>
      </c>
      <c r="M176">
        <v>1.49</v>
      </c>
      <c r="N176">
        <v>61</v>
      </c>
      <c r="O176">
        <v>0</v>
      </c>
      <c r="P176">
        <v>100</v>
      </c>
      <c r="Q176">
        <v>1</v>
      </c>
    </row>
    <row r="177" spans="1:17">
      <c r="A177" t="s">
        <v>120</v>
      </c>
      <c r="B177" t="s">
        <v>0</v>
      </c>
      <c r="C177" t="s">
        <v>281</v>
      </c>
      <c r="D177" t="s">
        <v>133</v>
      </c>
      <c r="E177" s="5">
        <v>45819.419374999998</v>
      </c>
      <c r="F177">
        <v>1</v>
      </c>
      <c r="G177">
        <v>3</v>
      </c>
      <c r="H177" t="s">
        <v>0</v>
      </c>
      <c r="I177">
        <v>5.117</v>
      </c>
      <c r="J177">
        <v>5.0640000000000001</v>
      </c>
      <c r="K177">
        <v>0</v>
      </c>
      <c r="L177">
        <v>7.5660000000000005E-2</v>
      </c>
      <c r="M177">
        <v>1.49</v>
      </c>
      <c r="N177">
        <v>61</v>
      </c>
      <c r="O177">
        <v>0</v>
      </c>
      <c r="P177">
        <v>100</v>
      </c>
      <c r="Q177">
        <v>1</v>
      </c>
    </row>
    <row r="178" spans="1:17">
      <c r="A178" t="s">
        <v>120</v>
      </c>
      <c r="B178" t="s">
        <v>0</v>
      </c>
      <c r="C178" t="s">
        <v>282</v>
      </c>
      <c r="D178" t="s">
        <v>133</v>
      </c>
      <c r="E178" s="5">
        <v>45819.426122685189</v>
      </c>
      <c r="F178">
        <v>1</v>
      </c>
      <c r="G178">
        <v>1</v>
      </c>
      <c r="H178" t="s">
        <v>0</v>
      </c>
      <c r="I178">
        <v>2.31</v>
      </c>
      <c r="J178">
        <v>2.2759999999999998</v>
      </c>
      <c r="K178">
        <v>0</v>
      </c>
      <c r="L178">
        <v>4.8079999999999998E-2</v>
      </c>
      <c r="M178">
        <v>2.11</v>
      </c>
      <c r="N178">
        <v>62</v>
      </c>
      <c r="O178">
        <v>0</v>
      </c>
      <c r="P178">
        <v>100</v>
      </c>
      <c r="Q178">
        <v>1</v>
      </c>
    </row>
    <row r="179" spans="1:17">
      <c r="A179" t="s">
        <v>120</v>
      </c>
      <c r="B179" t="s">
        <v>0</v>
      </c>
      <c r="C179" t="s">
        <v>282</v>
      </c>
      <c r="D179" t="s">
        <v>133</v>
      </c>
      <c r="E179" s="5">
        <v>45819.427662037036</v>
      </c>
      <c r="F179">
        <v>1</v>
      </c>
      <c r="G179">
        <v>2</v>
      </c>
      <c r="H179" t="s">
        <v>0</v>
      </c>
      <c r="I179">
        <v>2.242</v>
      </c>
      <c r="J179">
        <v>2.2759999999999998</v>
      </c>
      <c r="K179">
        <v>0</v>
      </c>
      <c r="L179">
        <v>4.8079999999999998E-2</v>
      </c>
      <c r="M179">
        <v>2.11</v>
      </c>
      <c r="N179">
        <v>62</v>
      </c>
      <c r="O179">
        <v>0</v>
      </c>
      <c r="P179">
        <v>100</v>
      </c>
      <c r="Q179">
        <v>1</v>
      </c>
    </row>
    <row r="180" spans="1:17">
      <c r="A180" t="s">
        <v>120</v>
      </c>
      <c r="B180" t="s">
        <v>0</v>
      </c>
      <c r="C180" t="s">
        <v>283</v>
      </c>
      <c r="D180" t="s">
        <v>133</v>
      </c>
      <c r="E180" s="5">
        <v>45819.434398148151</v>
      </c>
      <c r="F180">
        <v>1</v>
      </c>
      <c r="G180">
        <v>1</v>
      </c>
      <c r="H180" t="s">
        <v>0</v>
      </c>
      <c r="I180">
        <v>1.46</v>
      </c>
      <c r="J180">
        <v>1.397</v>
      </c>
      <c r="K180">
        <v>0</v>
      </c>
      <c r="L180">
        <v>8.9800000000000005E-2</v>
      </c>
      <c r="M180">
        <v>6.43</v>
      </c>
      <c r="N180">
        <v>63</v>
      </c>
      <c r="O180">
        <v>0</v>
      </c>
      <c r="P180">
        <v>100</v>
      </c>
      <c r="Q180">
        <v>1</v>
      </c>
    </row>
    <row r="181" spans="1:17">
      <c r="A181" t="s">
        <v>120</v>
      </c>
      <c r="B181" t="s">
        <v>0</v>
      </c>
      <c r="C181" t="s">
        <v>283</v>
      </c>
      <c r="D181" t="s">
        <v>133</v>
      </c>
      <c r="E181" s="5">
        <v>45819.435925925929</v>
      </c>
      <c r="F181">
        <v>1</v>
      </c>
      <c r="G181">
        <v>2</v>
      </c>
      <c r="H181" t="s">
        <v>0</v>
      </c>
      <c r="I181">
        <v>1.333</v>
      </c>
      <c r="J181">
        <v>1.397</v>
      </c>
      <c r="K181">
        <v>0</v>
      </c>
      <c r="L181">
        <v>8.9800000000000005E-2</v>
      </c>
      <c r="M181">
        <v>6.43</v>
      </c>
      <c r="N181">
        <v>63</v>
      </c>
      <c r="O181">
        <v>0</v>
      </c>
      <c r="P181">
        <v>100</v>
      </c>
      <c r="Q181">
        <v>1</v>
      </c>
    </row>
    <row r="182" spans="1:17">
      <c r="A182" t="s">
        <v>120</v>
      </c>
      <c r="B182" t="s">
        <v>0</v>
      </c>
      <c r="C182" t="s">
        <v>284</v>
      </c>
      <c r="D182" t="s">
        <v>133</v>
      </c>
      <c r="E182" s="5">
        <v>45819.442789351851</v>
      </c>
      <c r="F182">
        <v>1</v>
      </c>
      <c r="G182">
        <v>1</v>
      </c>
      <c r="H182" t="s">
        <v>0</v>
      </c>
      <c r="I182">
        <v>1.407</v>
      </c>
      <c r="J182">
        <v>0.93379999999999996</v>
      </c>
      <c r="K182">
        <v>0</v>
      </c>
      <c r="L182">
        <v>4.0869999999999997E-2</v>
      </c>
      <c r="M182">
        <v>4.38</v>
      </c>
      <c r="N182">
        <v>64</v>
      </c>
      <c r="O182">
        <v>1</v>
      </c>
      <c r="P182">
        <v>100</v>
      </c>
      <c r="Q182">
        <v>1</v>
      </c>
    </row>
    <row r="183" spans="1:17">
      <c r="A183" t="s">
        <v>120</v>
      </c>
      <c r="B183" t="s">
        <v>0</v>
      </c>
      <c r="C183" t="s">
        <v>284</v>
      </c>
      <c r="D183" t="s">
        <v>133</v>
      </c>
      <c r="E183" s="5">
        <v>45819.444282407407</v>
      </c>
      <c r="F183">
        <v>1</v>
      </c>
      <c r="G183">
        <v>2</v>
      </c>
      <c r="H183" t="s">
        <v>0</v>
      </c>
      <c r="I183">
        <v>0.9627</v>
      </c>
      <c r="J183">
        <v>0.93379999999999996</v>
      </c>
      <c r="K183">
        <v>0</v>
      </c>
      <c r="L183">
        <v>4.0869999999999997E-2</v>
      </c>
      <c r="M183">
        <v>4.38</v>
      </c>
      <c r="N183">
        <v>64</v>
      </c>
      <c r="O183">
        <v>0</v>
      </c>
      <c r="P183">
        <v>100</v>
      </c>
      <c r="Q183">
        <v>1</v>
      </c>
    </row>
    <row r="184" spans="1:17">
      <c r="A184" t="s">
        <v>120</v>
      </c>
      <c r="B184" t="s">
        <v>0</v>
      </c>
      <c r="C184" t="s">
        <v>284</v>
      </c>
      <c r="D184" t="s">
        <v>133</v>
      </c>
      <c r="E184" s="5">
        <v>45819.445787037039</v>
      </c>
      <c r="F184">
        <v>1</v>
      </c>
      <c r="G184">
        <v>3</v>
      </c>
      <c r="H184" t="s">
        <v>0</v>
      </c>
      <c r="I184">
        <v>0.90490000000000004</v>
      </c>
      <c r="J184">
        <v>0.93379999999999996</v>
      </c>
      <c r="K184">
        <v>0</v>
      </c>
      <c r="L184">
        <v>4.0869999999999997E-2</v>
      </c>
      <c r="M184">
        <v>4.38</v>
      </c>
      <c r="N184">
        <v>64</v>
      </c>
      <c r="O184">
        <v>0</v>
      </c>
      <c r="P184">
        <v>100</v>
      </c>
      <c r="Q184">
        <v>1</v>
      </c>
    </row>
    <row r="185" spans="1:17">
      <c r="A185" t="s">
        <v>120</v>
      </c>
      <c r="B185" t="s">
        <v>0</v>
      </c>
      <c r="C185" t="s">
        <v>285</v>
      </c>
      <c r="D185" t="s">
        <v>133</v>
      </c>
      <c r="E185" s="5">
        <v>45819.452465277776</v>
      </c>
      <c r="F185">
        <v>1</v>
      </c>
      <c r="G185">
        <v>1</v>
      </c>
      <c r="H185" t="s">
        <v>0</v>
      </c>
      <c r="I185">
        <v>0.89980000000000004</v>
      </c>
      <c r="J185">
        <v>0.71230000000000004</v>
      </c>
      <c r="K185">
        <v>0</v>
      </c>
      <c r="L185">
        <v>2.4539999999999999E-2</v>
      </c>
      <c r="M185">
        <v>3.44</v>
      </c>
      <c r="N185">
        <v>65</v>
      </c>
      <c r="O185">
        <v>1</v>
      </c>
      <c r="P185">
        <v>100</v>
      </c>
      <c r="Q185">
        <v>1</v>
      </c>
    </row>
    <row r="186" spans="1:17">
      <c r="A186" t="s">
        <v>120</v>
      </c>
      <c r="B186" t="s">
        <v>0</v>
      </c>
      <c r="C186" t="s">
        <v>285</v>
      </c>
      <c r="D186" t="s">
        <v>133</v>
      </c>
      <c r="E186" s="5">
        <v>45819.453946759262</v>
      </c>
      <c r="F186">
        <v>1</v>
      </c>
      <c r="G186">
        <v>2</v>
      </c>
      <c r="H186" t="s">
        <v>0</v>
      </c>
      <c r="I186">
        <v>0.72960000000000003</v>
      </c>
      <c r="J186">
        <v>0.71230000000000004</v>
      </c>
      <c r="K186">
        <v>0</v>
      </c>
      <c r="L186">
        <v>2.4539999999999999E-2</v>
      </c>
      <c r="M186">
        <v>3.44</v>
      </c>
      <c r="N186">
        <v>65</v>
      </c>
      <c r="O186">
        <v>0</v>
      </c>
      <c r="P186">
        <v>100</v>
      </c>
      <c r="Q186">
        <v>1</v>
      </c>
    </row>
    <row r="187" spans="1:17">
      <c r="A187" t="s">
        <v>120</v>
      </c>
      <c r="B187" t="s">
        <v>0</v>
      </c>
      <c r="C187" t="s">
        <v>285</v>
      </c>
      <c r="D187" t="s">
        <v>133</v>
      </c>
      <c r="E187" s="5">
        <v>45819.455474537041</v>
      </c>
      <c r="F187">
        <v>1</v>
      </c>
      <c r="G187">
        <v>3</v>
      </c>
      <c r="H187" t="s">
        <v>0</v>
      </c>
      <c r="I187">
        <v>0.69489999999999996</v>
      </c>
      <c r="J187">
        <v>0.71230000000000004</v>
      </c>
      <c r="K187">
        <v>0</v>
      </c>
      <c r="L187">
        <v>2.4539999999999999E-2</v>
      </c>
      <c r="M187">
        <v>3.44</v>
      </c>
      <c r="N187">
        <v>65</v>
      </c>
      <c r="O187">
        <v>0</v>
      </c>
      <c r="P187">
        <v>100</v>
      </c>
      <c r="Q187">
        <v>1</v>
      </c>
    </row>
    <row r="188" spans="1:17">
      <c r="A188" t="s">
        <v>120</v>
      </c>
      <c r="B188" t="s">
        <v>0</v>
      </c>
      <c r="C188" t="s">
        <v>286</v>
      </c>
      <c r="D188" t="s">
        <v>133</v>
      </c>
      <c r="E188" s="5">
        <v>45819.462152777778</v>
      </c>
      <c r="F188">
        <v>1</v>
      </c>
      <c r="G188">
        <v>1</v>
      </c>
      <c r="H188" t="s">
        <v>0</v>
      </c>
      <c r="I188">
        <v>0.90069999999999995</v>
      </c>
      <c r="J188">
        <v>0.57630000000000003</v>
      </c>
      <c r="K188">
        <v>0</v>
      </c>
      <c r="L188">
        <v>3.3520000000000001E-2</v>
      </c>
      <c r="M188">
        <v>5.82</v>
      </c>
      <c r="N188">
        <v>66</v>
      </c>
      <c r="O188">
        <v>1</v>
      </c>
      <c r="P188">
        <v>100</v>
      </c>
      <c r="Q188">
        <v>1</v>
      </c>
    </row>
    <row r="189" spans="1:17">
      <c r="A189" t="s">
        <v>120</v>
      </c>
      <c r="B189" t="s">
        <v>0</v>
      </c>
      <c r="C189" t="s">
        <v>286</v>
      </c>
      <c r="D189" t="s">
        <v>133</v>
      </c>
      <c r="E189" s="5">
        <v>45819.463634259257</v>
      </c>
      <c r="F189">
        <v>1</v>
      </c>
      <c r="G189">
        <v>2</v>
      </c>
      <c r="H189" t="s">
        <v>0</v>
      </c>
      <c r="I189">
        <v>0.55259999999999998</v>
      </c>
      <c r="J189">
        <v>0.57630000000000003</v>
      </c>
      <c r="K189">
        <v>0</v>
      </c>
      <c r="L189">
        <v>3.3520000000000001E-2</v>
      </c>
      <c r="M189">
        <v>5.82</v>
      </c>
      <c r="N189">
        <v>66</v>
      </c>
      <c r="O189">
        <v>0</v>
      </c>
      <c r="P189">
        <v>100</v>
      </c>
      <c r="Q189">
        <v>1</v>
      </c>
    </row>
    <row r="190" spans="1:17">
      <c r="A190" t="s">
        <v>120</v>
      </c>
      <c r="B190" t="s">
        <v>0</v>
      </c>
      <c r="C190" t="s">
        <v>286</v>
      </c>
      <c r="D190" t="s">
        <v>133</v>
      </c>
      <c r="E190" s="5">
        <v>45819.465115740742</v>
      </c>
      <c r="F190">
        <v>1</v>
      </c>
      <c r="G190">
        <v>3</v>
      </c>
      <c r="H190" t="s">
        <v>0</v>
      </c>
      <c r="I190">
        <v>0.6</v>
      </c>
      <c r="J190">
        <v>0.57630000000000003</v>
      </c>
      <c r="K190">
        <v>0</v>
      </c>
      <c r="L190">
        <v>3.3520000000000001E-2</v>
      </c>
      <c r="M190">
        <v>5.82</v>
      </c>
      <c r="N190">
        <v>66</v>
      </c>
      <c r="O190">
        <v>0</v>
      </c>
      <c r="P190">
        <v>100</v>
      </c>
      <c r="Q190">
        <v>1</v>
      </c>
    </row>
    <row r="191" spans="1:17">
      <c r="A191" t="s">
        <v>120</v>
      </c>
      <c r="B191" t="s">
        <v>0</v>
      </c>
      <c r="C191" t="s">
        <v>287</v>
      </c>
      <c r="D191" t="s">
        <v>133</v>
      </c>
      <c r="E191" s="5">
        <v>45819.472002314818</v>
      </c>
      <c r="F191">
        <v>1</v>
      </c>
      <c r="G191">
        <v>1</v>
      </c>
      <c r="H191" t="s">
        <v>0</v>
      </c>
      <c r="I191">
        <v>1.0940000000000001</v>
      </c>
      <c r="J191">
        <v>0.5625</v>
      </c>
      <c r="K191">
        <v>0</v>
      </c>
      <c r="L191">
        <v>1.7680000000000001E-2</v>
      </c>
      <c r="M191">
        <v>3.14</v>
      </c>
      <c r="N191">
        <v>67</v>
      </c>
      <c r="O191">
        <v>1</v>
      </c>
      <c r="P191">
        <v>100</v>
      </c>
      <c r="Q191">
        <v>1</v>
      </c>
    </row>
    <row r="192" spans="1:17">
      <c r="A192" t="s">
        <v>120</v>
      </c>
      <c r="B192" t="s">
        <v>0</v>
      </c>
      <c r="C192" t="s">
        <v>287</v>
      </c>
      <c r="D192" t="s">
        <v>133</v>
      </c>
      <c r="E192" s="5">
        <v>45819.473495370374</v>
      </c>
      <c r="F192">
        <v>1</v>
      </c>
      <c r="G192">
        <v>2</v>
      </c>
      <c r="H192" t="s">
        <v>0</v>
      </c>
      <c r="I192">
        <v>0.55000000000000004</v>
      </c>
      <c r="J192">
        <v>0.5625</v>
      </c>
      <c r="K192">
        <v>0</v>
      </c>
      <c r="L192">
        <v>1.7680000000000001E-2</v>
      </c>
      <c r="M192">
        <v>3.14</v>
      </c>
      <c r="N192">
        <v>67</v>
      </c>
      <c r="O192">
        <v>0</v>
      </c>
      <c r="P192">
        <v>100</v>
      </c>
      <c r="Q192">
        <v>1</v>
      </c>
    </row>
    <row r="193" spans="1:17">
      <c r="A193" t="s">
        <v>120</v>
      </c>
      <c r="B193" t="s">
        <v>0</v>
      </c>
      <c r="C193" t="s">
        <v>287</v>
      </c>
      <c r="D193" t="s">
        <v>133</v>
      </c>
      <c r="E193" s="5">
        <v>45819.474976851852</v>
      </c>
      <c r="F193">
        <v>1</v>
      </c>
      <c r="G193">
        <v>3</v>
      </c>
      <c r="H193" t="s">
        <v>0</v>
      </c>
      <c r="I193">
        <v>0.57499999999999996</v>
      </c>
      <c r="J193">
        <v>0.5625</v>
      </c>
      <c r="K193">
        <v>0</v>
      </c>
      <c r="L193">
        <v>1.7680000000000001E-2</v>
      </c>
      <c r="M193">
        <v>3.14</v>
      </c>
      <c r="N193">
        <v>67</v>
      </c>
      <c r="O193">
        <v>0</v>
      </c>
      <c r="P193">
        <v>100</v>
      </c>
      <c r="Q193">
        <v>1</v>
      </c>
    </row>
    <row r="194" spans="1:17">
      <c r="A194" t="s">
        <v>120</v>
      </c>
      <c r="B194" t="s">
        <v>0</v>
      </c>
      <c r="C194" t="s">
        <v>288</v>
      </c>
      <c r="D194" t="s">
        <v>133</v>
      </c>
      <c r="E194" s="5">
        <v>45819.481759259259</v>
      </c>
      <c r="F194">
        <v>1</v>
      </c>
      <c r="G194">
        <v>1</v>
      </c>
      <c r="H194" t="s">
        <v>0</v>
      </c>
      <c r="I194">
        <v>0.88970000000000005</v>
      </c>
      <c r="J194">
        <v>0.82850000000000001</v>
      </c>
      <c r="K194">
        <v>0</v>
      </c>
      <c r="L194">
        <v>8.6620000000000003E-2</v>
      </c>
      <c r="M194">
        <v>10.46</v>
      </c>
      <c r="N194">
        <v>68</v>
      </c>
      <c r="O194">
        <v>0</v>
      </c>
      <c r="P194">
        <v>100</v>
      </c>
      <c r="Q194">
        <v>1</v>
      </c>
    </row>
    <row r="195" spans="1:17">
      <c r="A195" t="s">
        <v>120</v>
      </c>
      <c r="B195" t="s">
        <v>0</v>
      </c>
      <c r="C195" t="s">
        <v>288</v>
      </c>
      <c r="D195" t="s">
        <v>133</v>
      </c>
      <c r="E195" s="5">
        <v>45819.483263888891</v>
      </c>
      <c r="F195">
        <v>1</v>
      </c>
      <c r="G195">
        <v>2</v>
      </c>
      <c r="H195" t="s">
        <v>0</v>
      </c>
      <c r="I195">
        <v>0.76719999999999999</v>
      </c>
      <c r="J195">
        <v>0.82850000000000001</v>
      </c>
      <c r="K195">
        <v>0</v>
      </c>
      <c r="L195">
        <v>8.6620000000000003E-2</v>
      </c>
      <c r="M195">
        <v>10.46</v>
      </c>
      <c r="N195">
        <v>68</v>
      </c>
      <c r="O195">
        <v>0</v>
      </c>
      <c r="P195">
        <v>100</v>
      </c>
      <c r="Q195">
        <v>1</v>
      </c>
    </row>
    <row r="196" spans="1:17">
      <c r="A196" t="s">
        <v>120</v>
      </c>
      <c r="B196" t="s">
        <v>0</v>
      </c>
      <c r="C196" t="s">
        <v>289</v>
      </c>
      <c r="D196" t="s">
        <v>133</v>
      </c>
      <c r="E196" s="5">
        <v>45819.49</v>
      </c>
      <c r="F196">
        <v>1</v>
      </c>
      <c r="G196">
        <v>1</v>
      </c>
      <c r="H196" t="s">
        <v>0</v>
      </c>
      <c r="I196">
        <v>1.165</v>
      </c>
      <c r="J196">
        <v>1.1359999999999999</v>
      </c>
      <c r="K196">
        <v>0</v>
      </c>
      <c r="L196">
        <v>4.172E-2</v>
      </c>
      <c r="M196">
        <v>3.67</v>
      </c>
      <c r="N196">
        <v>69</v>
      </c>
      <c r="O196">
        <v>0</v>
      </c>
      <c r="P196">
        <v>100</v>
      </c>
      <c r="Q196">
        <v>1</v>
      </c>
    </row>
    <row r="197" spans="1:17">
      <c r="A197" t="s">
        <v>120</v>
      </c>
      <c r="B197" t="s">
        <v>0</v>
      </c>
      <c r="C197" t="s">
        <v>289</v>
      </c>
      <c r="D197" t="s">
        <v>133</v>
      </c>
      <c r="E197" s="5">
        <v>45819.491469907407</v>
      </c>
      <c r="F197">
        <v>1</v>
      </c>
      <c r="G197">
        <v>2</v>
      </c>
      <c r="H197" t="s">
        <v>0</v>
      </c>
      <c r="I197">
        <v>1.1060000000000001</v>
      </c>
      <c r="J197">
        <v>1.1359999999999999</v>
      </c>
      <c r="K197">
        <v>0</v>
      </c>
      <c r="L197">
        <v>4.172E-2</v>
      </c>
      <c r="M197">
        <v>3.67</v>
      </c>
      <c r="N197">
        <v>69</v>
      </c>
      <c r="O197">
        <v>0</v>
      </c>
      <c r="P197">
        <v>100</v>
      </c>
      <c r="Q197">
        <v>1</v>
      </c>
    </row>
    <row r="198" spans="1:17">
      <c r="A198" t="s">
        <v>120</v>
      </c>
      <c r="B198" t="s">
        <v>0</v>
      </c>
      <c r="C198" t="s">
        <v>290</v>
      </c>
      <c r="D198" t="s">
        <v>133</v>
      </c>
      <c r="E198" s="5">
        <v>45819.498379629629</v>
      </c>
      <c r="F198">
        <v>1</v>
      </c>
      <c r="G198">
        <v>1</v>
      </c>
      <c r="H198" t="s">
        <v>0</v>
      </c>
      <c r="I198">
        <v>3.2440000000000002</v>
      </c>
      <c r="J198">
        <v>3.2229999999999999</v>
      </c>
      <c r="K198">
        <v>0</v>
      </c>
      <c r="L198">
        <v>2.9700000000000001E-2</v>
      </c>
      <c r="M198">
        <v>0.92</v>
      </c>
      <c r="N198">
        <v>70</v>
      </c>
      <c r="O198">
        <v>0</v>
      </c>
      <c r="P198">
        <v>100</v>
      </c>
      <c r="Q198">
        <v>1</v>
      </c>
    </row>
    <row r="199" spans="1:17">
      <c r="A199" t="s">
        <v>120</v>
      </c>
      <c r="B199" t="s">
        <v>0</v>
      </c>
      <c r="C199" t="s">
        <v>290</v>
      </c>
      <c r="D199" t="s">
        <v>133</v>
      </c>
      <c r="E199" s="5">
        <v>45819.499930555554</v>
      </c>
      <c r="F199">
        <v>1</v>
      </c>
      <c r="G199">
        <v>2</v>
      </c>
      <c r="H199" t="s">
        <v>0</v>
      </c>
      <c r="I199">
        <v>3.202</v>
      </c>
      <c r="J199">
        <v>3.2229999999999999</v>
      </c>
      <c r="K199">
        <v>0</v>
      </c>
      <c r="L199">
        <v>2.9700000000000001E-2</v>
      </c>
      <c r="M199">
        <v>0.92</v>
      </c>
      <c r="N199">
        <v>70</v>
      </c>
      <c r="O199">
        <v>0</v>
      </c>
      <c r="P199">
        <v>100</v>
      </c>
      <c r="Q199">
        <v>1</v>
      </c>
    </row>
    <row r="200" spans="1:17">
      <c r="A200" t="s">
        <v>120</v>
      </c>
      <c r="B200" t="s">
        <v>0</v>
      </c>
      <c r="C200" t="s">
        <v>291</v>
      </c>
      <c r="D200" t="s">
        <v>133</v>
      </c>
      <c r="E200" s="5">
        <v>45819.508090277777</v>
      </c>
      <c r="F200">
        <v>1</v>
      </c>
      <c r="G200">
        <v>1</v>
      </c>
      <c r="H200" t="s">
        <v>0</v>
      </c>
      <c r="I200">
        <v>72.89</v>
      </c>
      <c r="J200">
        <v>72.239999999999995</v>
      </c>
      <c r="K200">
        <v>0</v>
      </c>
      <c r="L200">
        <v>0.91920000000000002</v>
      </c>
      <c r="M200">
        <v>1.27</v>
      </c>
      <c r="N200">
        <v>13</v>
      </c>
      <c r="O200">
        <v>0</v>
      </c>
      <c r="P200">
        <v>100</v>
      </c>
      <c r="Q200">
        <v>1</v>
      </c>
    </row>
    <row r="201" spans="1:17">
      <c r="A201" t="s">
        <v>120</v>
      </c>
      <c r="B201" t="s">
        <v>0</v>
      </c>
      <c r="C201" t="s">
        <v>291</v>
      </c>
      <c r="D201" t="s">
        <v>133</v>
      </c>
      <c r="E201" s="5">
        <v>45819.510462962964</v>
      </c>
      <c r="F201">
        <v>1</v>
      </c>
      <c r="G201">
        <v>2</v>
      </c>
      <c r="H201" t="s">
        <v>0</v>
      </c>
      <c r="I201">
        <v>71.59</v>
      </c>
      <c r="J201">
        <v>72.239999999999995</v>
      </c>
      <c r="K201">
        <v>0</v>
      </c>
      <c r="L201">
        <v>0.91920000000000002</v>
      </c>
      <c r="M201">
        <v>1.27</v>
      </c>
      <c r="N201">
        <v>13</v>
      </c>
      <c r="O201">
        <v>0</v>
      </c>
      <c r="P201">
        <v>100</v>
      </c>
      <c r="Q201">
        <v>1</v>
      </c>
    </row>
    <row r="202" spans="1:17">
      <c r="A202" t="s">
        <v>120</v>
      </c>
      <c r="B202" t="s">
        <v>0</v>
      </c>
      <c r="C202" t="s">
        <v>292</v>
      </c>
      <c r="D202" t="s">
        <v>133</v>
      </c>
      <c r="E202" s="5">
        <v>45819.517199074071</v>
      </c>
      <c r="F202">
        <v>1</v>
      </c>
      <c r="G202">
        <v>1</v>
      </c>
      <c r="H202" t="s">
        <v>0</v>
      </c>
      <c r="I202">
        <v>0.45190000000000002</v>
      </c>
      <c r="J202">
        <v>0.3891</v>
      </c>
      <c r="K202">
        <v>0</v>
      </c>
      <c r="L202">
        <v>8.881E-2</v>
      </c>
      <c r="M202">
        <v>22.83</v>
      </c>
      <c r="N202">
        <v>18</v>
      </c>
      <c r="O202">
        <v>0</v>
      </c>
      <c r="P202">
        <v>100</v>
      </c>
      <c r="Q202">
        <v>1</v>
      </c>
    </row>
    <row r="203" spans="1:17">
      <c r="A203" t="s">
        <v>120</v>
      </c>
      <c r="B203" t="s">
        <v>0</v>
      </c>
      <c r="C203" t="s">
        <v>292</v>
      </c>
      <c r="D203" t="s">
        <v>133</v>
      </c>
      <c r="E203" s="5">
        <v>45819.51866898148</v>
      </c>
      <c r="F203">
        <v>1</v>
      </c>
      <c r="G203">
        <v>2</v>
      </c>
      <c r="H203" t="s">
        <v>0</v>
      </c>
      <c r="I203">
        <v>0.32629999999999998</v>
      </c>
      <c r="J203">
        <v>0.3891</v>
      </c>
      <c r="K203">
        <v>0</v>
      </c>
      <c r="L203">
        <v>8.881E-2</v>
      </c>
      <c r="M203">
        <v>22.83</v>
      </c>
      <c r="N203">
        <v>18</v>
      </c>
      <c r="O203">
        <v>0</v>
      </c>
      <c r="P203">
        <v>100</v>
      </c>
      <c r="Q203">
        <v>1</v>
      </c>
    </row>
    <row r="204" spans="1:17">
      <c r="A204" t="s">
        <v>120</v>
      </c>
      <c r="B204" t="s">
        <v>0</v>
      </c>
      <c r="C204" t="s">
        <v>86</v>
      </c>
      <c r="D204" t="s">
        <v>133</v>
      </c>
      <c r="E204" s="5">
        <v>45819.524629629632</v>
      </c>
      <c r="F204">
        <v>1</v>
      </c>
      <c r="G204">
        <v>1</v>
      </c>
      <c r="H204" t="s">
        <v>0</v>
      </c>
      <c r="I204">
        <v>0.83099999999999996</v>
      </c>
      <c r="J204">
        <v>0.88759999999999994</v>
      </c>
      <c r="K204">
        <v>0</v>
      </c>
      <c r="L204">
        <v>7.9969999999999999E-2</v>
      </c>
      <c r="M204">
        <v>9.01</v>
      </c>
      <c r="N204">
        <v>0</v>
      </c>
      <c r="O204">
        <v>0</v>
      </c>
      <c r="P204">
        <v>100</v>
      </c>
      <c r="Q204">
        <v>1</v>
      </c>
    </row>
    <row r="205" spans="1:17">
      <c r="A205" t="s">
        <v>120</v>
      </c>
      <c r="B205" t="s">
        <v>0</v>
      </c>
      <c r="C205" t="s">
        <v>86</v>
      </c>
      <c r="D205" t="s">
        <v>133</v>
      </c>
      <c r="E205" s="5">
        <v>45819.52611111111</v>
      </c>
      <c r="F205">
        <v>1</v>
      </c>
      <c r="G205">
        <v>2</v>
      </c>
      <c r="H205" t="s">
        <v>0</v>
      </c>
      <c r="I205">
        <v>0.5534</v>
      </c>
      <c r="J205">
        <v>0.88759999999999994</v>
      </c>
      <c r="K205">
        <v>0</v>
      </c>
      <c r="L205">
        <v>7.9969999999999999E-2</v>
      </c>
      <c r="M205">
        <v>9.01</v>
      </c>
      <c r="N205">
        <v>0</v>
      </c>
      <c r="O205">
        <v>1</v>
      </c>
      <c r="P205">
        <v>100</v>
      </c>
      <c r="Q205">
        <v>1</v>
      </c>
    </row>
    <row r="206" spans="1:17">
      <c r="A206" t="s">
        <v>120</v>
      </c>
      <c r="B206" t="s">
        <v>0</v>
      </c>
      <c r="C206" t="s">
        <v>86</v>
      </c>
      <c r="D206" t="s">
        <v>133</v>
      </c>
      <c r="E206" s="5">
        <v>45819.528113425928</v>
      </c>
      <c r="F206">
        <v>1</v>
      </c>
      <c r="G206">
        <v>3</v>
      </c>
      <c r="H206" t="s">
        <v>0</v>
      </c>
      <c r="I206">
        <v>0.94410000000000005</v>
      </c>
      <c r="J206">
        <v>0.88759999999999994</v>
      </c>
      <c r="K206">
        <v>0</v>
      </c>
      <c r="L206">
        <v>7.9969999999999999E-2</v>
      </c>
      <c r="M206">
        <v>9.01</v>
      </c>
      <c r="N206">
        <v>0</v>
      </c>
      <c r="O206">
        <v>0</v>
      </c>
      <c r="P206">
        <v>100</v>
      </c>
      <c r="Q20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BBA38-4D43-2342-9CFE-8B7BE73E4708}">
  <dimension ref="A1:E196"/>
  <sheetViews>
    <sheetView zoomScale="130" zoomScaleNormal="130" workbookViewId="0">
      <pane ySplit="1" topLeftCell="A2" activePane="bottomLeft" state="frozen"/>
      <selection pane="bottomLeft" activeCell="C10" sqref="C10"/>
    </sheetView>
  </sheetViews>
  <sheetFormatPr baseColWidth="10" defaultRowHeight="14"/>
  <cols>
    <col min="1" max="1" width="21" style="1" bestFit="1" customWidth="1"/>
    <col min="2" max="2" width="12.1640625" style="1" bestFit="1" customWidth="1"/>
    <col min="3" max="3" width="10" style="1" bestFit="1" customWidth="1"/>
    <col min="4" max="4" width="6" style="1" bestFit="1" customWidth="1"/>
    <col min="5" max="5" width="4.1640625" style="1" bestFit="1" customWidth="1"/>
    <col min="6" max="16384" width="10.83203125" style="1"/>
  </cols>
  <sheetData>
    <row r="1" spans="1:5" ht="16">
      <c r="A1" t="s">
        <v>9</v>
      </c>
      <c r="B1" t="s">
        <v>84</v>
      </c>
      <c r="C1" t="s">
        <v>2</v>
      </c>
      <c r="D1" t="s">
        <v>85</v>
      </c>
      <c r="E1" t="s">
        <v>30</v>
      </c>
    </row>
    <row r="2" spans="1:5" ht="16">
      <c r="A2" t="s">
        <v>86</v>
      </c>
      <c r="B2" t="s">
        <v>0</v>
      </c>
      <c r="C2">
        <v>0.84240000000000004</v>
      </c>
      <c r="D2">
        <v>0</v>
      </c>
      <c r="E2">
        <v>0</v>
      </c>
    </row>
    <row r="3" spans="1:5" ht="16">
      <c r="A3" t="s">
        <v>87</v>
      </c>
      <c r="B3" t="s">
        <v>0</v>
      </c>
      <c r="C3">
        <v>0.4632</v>
      </c>
      <c r="D3">
        <v>0</v>
      </c>
      <c r="E3">
        <v>1</v>
      </c>
    </row>
    <row r="4" spans="1:5" ht="16">
      <c r="A4" t="s">
        <v>134</v>
      </c>
      <c r="B4" t="s">
        <v>0</v>
      </c>
      <c r="C4">
        <v>137.30000000000001</v>
      </c>
      <c r="D4">
        <v>20</v>
      </c>
      <c r="E4">
        <v>2</v>
      </c>
    </row>
    <row r="5" spans="1:5" ht="16">
      <c r="A5" t="s">
        <v>134</v>
      </c>
      <c r="B5" t="s">
        <v>0</v>
      </c>
      <c r="C5">
        <v>69.06</v>
      </c>
      <c r="D5">
        <v>10</v>
      </c>
      <c r="E5">
        <v>3</v>
      </c>
    </row>
    <row r="6" spans="1:5" ht="16">
      <c r="A6" t="s">
        <v>134</v>
      </c>
      <c r="B6" t="s">
        <v>0</v>
      </c>
      <c r="C6">
        <v>34.200000000000003</v>
      </c>
      <c r="D6">
        <v>5</v>
      </c>
      <c r="E6">
        <v>4</v>
      </c>
    </row>
    <row r="7" spans="1:5" ht="16">
      <c r="A7" t="s">
        <v>134</v>
      </c>
      <c r="B7" t="s">
        <v>0</v>
      </c>
      <c r="C7">
        <v>14.19</v>
      </c>
      <c r="D7">
        <v>2</v>
      </c>
      <c r="E7">
        <v>5</v>
      </c>
    </row>
    <row r="8" spans="1:5" ht="16">
      <c r="A8" t="s">
        <v>134</v>
      </c>
      <c r="B8" t="s">
        <v>0</v>
      </c>
      <c r="C8">
        <v>7.1790000000000003</v>
      </c>
      <c r="D8">
        <v>1</v>
      </c>
      <c r="E8">
        <v>6</v>
      </c>
    </row>
    <row r="9" spans="1:5" ht="16">
      <c r="A9" t="s">
        <v>134</v>
      </c>
      <c r="B9" t="s">
        <v>0</v>
      </c>
      <c r="C9">
        <v>3.66</v>
      </c>
      <c r="D9">
        <v>0.5</v>
      </c>
      <c r="E9">
        <v>7</v>
      </c>
    </row>
    <row r="10" spans="1:5" ht="16">
      <c r="A10" t="s">
        <v>134</v>
      </c>
      <c r="B10" t="s">
        <v>0</v>
      </c>
      <c r="C10">
        <v>0.3301</v>
      </c>
      <c r="D10">
        <v>0</v>
      </c>
      <c r="E10">
        <v>8</v>
      </c>
    </row>
    <row r="11" spans="1:5" ht="16">
      <c r="A11" t="s">
        <v>135</v>
      </c>
      <c r="B11" t="s">
        <v>0</v>
      </c>
      <c r="C11">
        <v>88.43</v>
      </c>
      <c r="D11">
        <v>0</v>
      </c>
      <c r="E11">
        <v>19</v>
      </c>
    </row>
    <row r="12" spans="1:5" ht="16">
      <c r="A12" t="s">
        <v>136</v>
      </c>
      <c r="B12" t="s">
        <v>0</v>
      </c>
      <c r="C12">
        <v>56.79</v>
      </c>
      <c r="D12">
        <v>0</v>
      </c>
      <c r="E12">
        <v>20</v>
      </c>
    </row>
    <row r="13" spans="1:5" ht="16">
      <c r="A13" t="s">
        <v>137</v>
      </c>
      <c r="B13" t="s">
        <v>0</v>
      </c>
      <c r="C13">
        <v>38.200000000000003</v>
      </c>
      <c r="D13">
        <v>0</v>
      </c>
      <c r="E13">
        <v>21</v>
      </c>
    </row>
    <row r="14" spans="1:5" ht="16">
      <c r="A14" t="s">
        <v>138</v>
      </c>
      <c r="B14" t="s">
        <v>0</v>
      </c>
      <c r="C14">
        <v>30.55</v>
      </c>
      <c r="D14">
        <v>0</v>
      </c>
      <c r="E14">
        <v>22</v>
      </c>
    </row>
    <row r="15" spans="1:5" ht="16">
      <c r="A15" t="s">
        <v>139</v>
      </c>
      <c r="B15" t="s">
        <v>0</v>
      </c>
      <c r="C15">
        <v>28.28</v>
      </c>
      <c r="D15">
        <v>0</v>
      </c>
      <c r="E15">
        <v>23</v>
      </c>
    </row>
    <row r="16" spans="1:5" ht="16">
      <c r="A16" t="s">
        <v>140</v>
      </c>
      <c r="B16" t="s">
        <v>0</v>
      </c>
      <c r="C16">
        <v>23.82</v>
      </c>
      <c r="D16">
        <v>0</v>
      </c>
      <c r="E16">
        <v>24</v>
      </c>
    </row>
    <row r="17" spans="1:5" ht="16">
      <c r="A17" t="s">
        <v>141</v>
      </c>
      <c r="B17" t="s">
        <v>0</v>
      </c>
      <c r="C17">
        <v>69.55</v>
      </c>
      <c r="D17">
        <v>0</v>
      </c>
      <c r="E17">
        <v>9</v>
      </c>
    </row>
    <row r="18" spans="1:5" ht="16">
      <c r="A18" t="s">
        <v>251</v>
      </c>
      <c r="B18" t="s">
        <v>0</v>
      </c>
      <c r="C18">
        <v>0.58609999999999995</v>
      </c>
      <c r="D18">
        <v>0</v>
      </c>
      <c r="E18">
        <v>14</v>
      </c>
    </row>
    <row r="19" spans="1:5" ht="16">
      <c r="A19" t="s">
        <v>252</v>
      </c>
      <c r="B19" t="s">
        <v>0</v>
      </c>
      <c r="C19">
        <v>22.76</v>
      </c>
      <c r="D19">
        <v>0</v>
      </c>
      <c r="E19">
        <v>43</v>
      </c>
    </row>
    <row r="20" spans="1:5" ht="16">
      <c r="A20" t="s">
        <v>253</v>
      </c>
      <c r="B20" t="s">
        <v>0</v>
      </c>
      <c r="C20">
        <v>91.35</v>
      </c>
      <c r="D20">
        <v>0</v>
      </c>
      <c r="E20">
        <v>44</v>
      </c>
    </row>
    <row r="21" spans="1:5" ht="16">
      <c r="A21" t="s">
        <v>88</v>
      </c>
      <c r="B21" t="s">
        <v>0</v>
      </c>
      <c r="C21">
        <v>82</v>
      </c>
      <c r="D21">
        <v>0</v>
      </c>
      <c r="E21">
        <v>25</v>
      </c>
    </row>
    <row r="22" spans="1:5" ht="16">
      <c r="A22" t="s">
        <v>89</v>
      </c>
      <c r="B22" t="s">
        <v>0</v>
      </c>
      <c r="C22">
        <v>47.88</v>
      </c>
      <c r="D22">
        <v>0</v>
      </c>
      <c r="E22">
        <v>26</v>
      </c>
    </row>
    <row r="23" spans="1:5" ht="16">
      <c r="A23" t="s">
        <v>90</v>
      </c>
      <c r="B23" t="s">
        <v>0</v>
      </c>
      <c r="C23">
        <v>28.41</v>
      </c>
      <c r="D23">
        <v>0</v>
      </c>
      <c r="E23">
        <v>27</v>
      </c>
    </row>
    <row r="24" spans="1:5" ht="16">
      <c r="A24" t="s">
        <v>91</v>
      </c>
      <c r="B24" t="s">
        <v>0</v>
      </c>
      <c r="C24">
        <v>20.77</v>
      </c>
      <c r="D24">
        <v>0</v>
      </c>
      <c r="E24">
        <v>28</v>
      </c>
    </row>
    <row r="25" spans="1:5" ht="16">
      <c r="A25" t="s">
        <v>92</v>
      </c>
      <c r="B25" t="s">
        <v>0</v>
      </c>
      <c r="C25">
        <v>16.89</v>
      </c>
      <c r="D25">
        <v>0</v>
      </c>
      <c r="E25">
        <v>29</v>
      </c>
    </row>
    <row r="26" spans="1:5" ht="16">
      <c r="A26" t="s">
        <v>93</v>
      </c>
      <c r="B26" t="s">
        <v>0</v>
      </c>
      <c r="C26">
        <v>13.77</v>
      </c>
      <c r="D26">
        <v>0</v>
      </c>
      <c r="E26">
        <v>30</v>
      </c>
    </row>
    <row r="27" spans="1:5" ht="16">
      <c r="A27" t="s">
        <v>142</v>
      </c>
      <c r="B27" t="s">
        <v>0</v>
      </c>
      <c r="C27">
        <v>71.44</v>
      </c>
      <c r="D27">
        <v>0</v>
      </c>
      <c r="E27">
        <v>10</v>
      </c>
    </row>
    <row r="28" spans="1:5" ht="16">
      <c r="A28" t="s">
        <v>254</v>
      </c>
      <c r="B28" t="s">
        <v>0</v>
      </c>
      <c r="C28">
        <v>0.42730000000000001</v>
      </c>
      <c r="D28">
        <v>0</v>
      </c>
      <c r="E28">
        <v>15</v>
      </c>
    </row>
    <row r="29" spans="1:5" ht="16">
      <c r="A29" t="s">
        <v>255</v>
      </c>
      <c r="B29" t="s">
        <v>0</v>
      </c>
      <c r="C29">
        <v>12.7</v>
      </c>
      <c r="D29">
        <v>0</v>
      </c>
      <c r="E29">
        <v>45</v>
      </c>
    </row>
    <row r="30" spans="1:5" ht="16">
      <c r="A30" t="s">
        <v>256</v>
      </c>
      <c r="B30" t="s">
        <v>0</v>
      </c>
      <c r="C30">
        <v>80.739999999999995</v>
      </c>
      <c r="D30">
        <v>0</v>
      </c>
      <c r="E30">
        <v>46</v>
      </c>
    </row>
    <row r="31" spans="1:5" ht="16">
      <c r="A31" t="s">
        <v>94</v>
      </c>
      <c r="B31" t="s">
        <v>0</v>
      </c>
      <c r="C31">
        <v>101.5</v>
      </c>
      <c r="D31">
        <v>0</v>
      </c>
      <c r="E31">
        <v>31</v>
      </c>
    </row>
    <row r="32" spans="1:5" ht="16">
      <c r="A32" t="s">
        <v>95</v>
      </c>
      <c r="B32" t="s">
        <v>0</v>
      </c>
      <c r="C32">
        <v>66.84</v>
      </c>
      <c r="D32">
        <v>0</v>
      </c>
      <c r="E32">
        <v>32</v>
      </c>
    </row>
    <row r="33" spans="1:5" ht="16">
      <c r="A33" t="s">
        <v>96</v>
      </c>
      <c r="B33" t="s">
        <v>0</v>
      </c>
      <c r="C33">
        <v>46.77</v>
      </c>
      <c r="D33">
        <v>0</v>
      </c>
      <c r="E33">
        <v>33</v>
      </c>
    </row>
    <row r="34" spans="1:5" ht="16">
      <c r="A34" t="s">
        <v>97</v>
      </c>
      <c r="B34" t="s">
        <v>0</v>
      </c>
      <c r="C34">
        <v>40.36</v>
      </c>
      <c r="D34">
        <v>0</v>
      </c>
      <c r="E34">
        <v>34</v>
      </c>
    </row>
    <row r="35" spans="1:5" ht="16">
      <c r="A35" t="s">
        <v>98</v>
      </c>
      <c r="B35" t="s">
        <v>0</v>
      </c>
      <c r="C35">
        <v>36.56</v>
      </c>
      <c r="D35">
        <v>0</v>
      </c>
      <c r="E35">
        <v>35</v>
      </c>
    </row>
    <row r="36" spans="1:5" ht="16">
      <c r="A36" t="s">
        <v>99</v>
      </c>
      <c r="B36" t="s">
        <v>0</v>
      </c>
      <c r="C36">
        <v>33.78</v>
      </c>
      <c r="D36">
        <v>0</v>
      </c>
      <c r="E36">
        <v>36</v>
      </c>
    </row>
    <row r="37" spans="1:5" ht="16">
      <c r="A37" t="s">
        <v>257</v>
      </c>
      <c r="B37" t="s">
        <v>0</v>
      </c>
      <c r="C37">
        <v>71.33</v>
      </c>
      <c r="D37">
        <v>0</v>
      </c>
      <c r="E37">
        <v>11</v>
      </c>
    </row>
    <row r="38" spans="1:5" ht="16">
      <c r="A38" t="s">
        <v>258</v>
      </c>
      <c r="B38" t="s">
        <v>0</v>
      </c>
      <c r="C38">
        <v>0.64990000000000003</v>
      </c>
      <c r="D38">
        <v>0</v>
      </c>
      <c r="E38">
        <v>16</v>
      </c>
    </row>
    <row r="39" spans="1:5" ht="16">
      <c r="A39" t="s">
        <v>259</v>
      </c>
      <c r="B39" t="s">
        <v>0</v>
      </c>
      <c r="C39">
        <v>31.76</v>
      </c>
      <c r="D39">
        <v>0</v>
      </c>
      <c r="E39">
        <v>47</v>
      </c>
    </row>
    <row r="40" spans="1:5" ht="16">
      <c r="A40" t="s">
        <v>260</v>
      </c>
      <c r="B40" t="s">
        <v>0</v>
      </c>
      <c r="C40">
        <v>100.4</v>
      </c>
      <c r="D40">
        <v>0</v>
      </c>
      <c r="E40">
        <v>48</v>
      </c>
    </row>
    <row r="41" spans="1:5" ht="16">
      <c r="A41" t="s">
        <v>261</v>
      </c>
      <c r="B41" t="s">
        <v>0</v>
      </c>
      <c r="C41">
        <v>95.62</v>
      </c>
      <c r="D41">
        <v>0</v>
      </c>
      <c r="E41">
        <v>37</v>
      </c>
    </row>
    <row r="42" spans="1:5" ht="16">
      <c r="A42" t="s">
        <v>262</v>
      </c>
      <c r="B42" t="s">
        <v>0</v>
      </c>
      <c r="C42">
        <v>63.85</v>
      </c>
      <c r="D42">
        <v>0</v>
      </c>
      <c r="E42">
        <v>38</v>
      </c>
    </row>
    <row r="43" spans="1:5" ht="16">
      <c r="A43" t="s">
        <v>263</v>
      </c>
      <c r="B43" t="s">
        <v>0</v>
      </c>
      <c r="C43">
        <v>44.45</v>
      </c>
      <c r="D43">
        <v>0</v>
      </c>
      <c r="E43">
        <v>39</v>
      </c>
    </row>
    <row r="44" spans="1:5" ht="16">
      <c r="A44" t="s">
        <v>264</v>
      </c>
      <c r="B44" t="s">
        <v>0</v>
      </c>
      <c r="C44">
        <v>38.479999999999997</v>
      </c>
      <c r="D44">
        <v>0</v>
      </c>
      <c r="E44">
        <v>40</v>
      </c>
    </row>
    <row r="45" spans="1:5" ht="16">
      <c r="A45" t="s">
        <v>265</v>
      </c>
      <c r="B45" t="s">
        <v>0</v>
      </c>
      <c r="C45">
        <v>34.47</v>
      </c>
      <c r="D45">
        <v>0</v>
      </c>
      <c r="E45">
        <v>41</v>
      </c>
    </row>
    <row r="46" spans="1:5" ht="16">
      <c r="A46" t="s">
        <v>266</v>
      </c>
      <c r="B46" t="s">
        <v>0</v>
      </c>
      <c r="C46">
        <v>30.75</v>
      </c>
      <c r="D46">
        <v>0</v>
      </c>
      <c r="E46">
        <v>42</v>
      </c>
    </row>
    <row r="47" spans="1:5" ht="16">
      <c r="A47" t="s">
        <v>267</v>
      </c>
      <c r="B47" t="s">
        <v>0</v>
      </c>
      <c r="C47">
        <v>71.41</v>
      </c>
      <c r="D47">
        <v>0</v>
      </c>
      <c r="E47">
        <v>12</v>
      </c>
    </row>
    <row r="48" spans="1:5" ht="16">
      <c r="A48" t="s">
        <v>268</v>
      </c>
      <c r="B48" t="s">
        <v>0</v>
      </c>
      <c r="C48">
        <v>0.55349999999999999</v>
      </c>
      <c r="D48">
        <v>0</v>
      </c>
      <c r="E48">
        <v>17</v>
      </c>
    </row>
    <row r="49" spans="1:5" ht="16">
      <c r="A49" t="s">
        <v>269</v>
      </c>
      <c r="B49" t="s">
        <v>0</v>
      </c>
      <c r="C49">
        <v>29.62</v>
      </c>
      <c r="D49">
        <v>0</v>
      </c>
      <c r="E49">
        <v>49</v>
      </c>
    </row>
    <row r="50" spans="1:5" ht="16">
      <c r="A50" t="s">
        <v>270</v>
      </c>
      <c r="B50" t="s">
        <v>0</v>
      </c>
      <c r="C50">
        <v>97.31</v>
      </c>
      <c r="D50">
        <v>0</v>
      </c>
      <c r="E50">
        <v>50</v>
      </c>
    </row>
    <row r="51" spans="1:5" ht="16">
      <c r="A51" t="s">
        <v>87</v>
      </c>
      <c r="B51" t="s">
        <v>0</v>
      </c>
      <c r="C51">
        <v>1.4850000000000001</v>
      </c>
      <c r="D51">
        <v>0</v>
      </c>
      <c r="E51">
        <v>1</v>
      </c>
    </row>
    <row r="52" spans="1:5" ht="16">
      <c r="A52" t="s">
        <v>271</v>
      </c>
      <c r="B52" t="s">
        <v>0</v>
      </c>
      <c r="C52">
        <v>1268</v>
      </c>
      <c r="D52">
        <v>0</v>
      </c>
      <c r="E52">
        <v>51</v>
      </c>
    </row>
    <row r="53" spans="1:5" ht="16">
      <c r="A53" t="s">
        <v>272</v>
      </c>
      <c r="B53" t="s">
        <v>0</v>
      </c>
      <c r="C53">
        <v>201.4</v>
      </c>
      <c r="D53">
        <v>0</v>
      </c>
      <c r="E53">
        <v>52</v>
      </c>
    </row>
    <row r="54" spans="1:5" ht="16">
      <c r="A54" t="s">
        <v>273</v>
      </c>
      <c r="B54" t="s">
        <v>0</v>
      </c>
      <c r="C54">
        <v>140.4</v>
      </c>
      <c r="D54">
        <v>0</v>
      </c>
      <c r="E54">
        <v>53</v>
      </c>
    </row>
    <row r="55" spans="1:5" ht="16">
      <c r="A55" t="s">
        <v>274</v>
      </c>
      <c r="B55" t="s">
        <v>0</v>
      </c>
      <c r="C55">
        <v>58.05</v>
      </c>
      <c r="D55">
        <v>0</v>
      </c>
      <c r="E55">
        <v>54</v>
      </c>
    </row>
    <row r="56" spans="1:5" ht="16">
      <c r="A56" t="s">
        <v>275</v>
      </c>
      <c r="B56" t="s">
        <v>0</v>
      </c>
      <c r="C56">
        <v>33.04</v>
      </c>
      <c r="D56">
        <v>0</v>
      </c>
      <c r="E56">
        <v>55</v>
      </c>
    </row>
    <row r="57" spans="1:5" ht="16">
      <c r="A57" t="s">
        <v>276</v>
      </c>
      <c r="B57" t="s">
        <v>0</v>
      </c>
      <c r="C57">
        <v>18.48</v>
      </c>
      <c r="D57">
        <v>0</v>
      </c>
      <c r="E57">
        <v>56</v>
      </c>
    </row>
    <row r="58" spans="1:5" ht="16">
      <c r="A58" t="s">
        <v>277</v>
      </c>
      <c r="B58" t="s">
        <v>0</v>
      </c>
      <c r="C58">
        <v>12.57</v>
      </c>
      <c r="D58">
        <v>0</v>
      </c>
      <c r="E58">
        <v>57</v>
      </c>
    </row>
    <row r="59" spans="1:5" ht="16">
      <c r="A59" t="s">
        <v>278</v>
      </c>
      <c r="B59" t="s">
        <v>0</v>
      </c>
      <c r="C59">
        <v>5.7949999999999999</v>
      </c>
      <c r="D59">
        <v>0</v>
      </c>
      <c r="E59">
        <v>58</v>
      </c>
    </row>
    <row r="60" spans="1:5" ht="16">
      <c r="A60" t="s">
        <v>279</v>
      </c>
      <c r="B60" t="s">
        <v>0</v>
      </c>
      <c r="C60">
        <v>3.1970000000000001</v>
      </c>
      <c r="D60">
        <v>0</v>
      </c>
      <c r="E60">
        <v>59</v>
      </c>
    </row>
    <row r="61" spans="1:5" ht="16">
      <c r="A61" t="s">
        <v>280</v>
      </c>
      <c r="B61" t="s">
        <v>0</v>
      </c>
      <c r="C61">
        <v>8.9580000000000002</v>
      </c>
      <c r="D61">
        <v>0</v>
      </c>
      <c r="E61">
        <v>60</v>
      </c>
    </row>
    <row r="62" spans="1:5" ht="16">
      <c r="A62" t="s">
        <v>281</v>
      </c>
      <c r="B62" t="s">
        <v>0</v>
      </c>
      <c r="C62">
        <v>5.0640000000000001</v>
      </c>
      <c r="D62">
        <v>0</v>
      </c>
      <c r="E62">
        <v>61</v>
      </c>
    </row>
    <row r="63" spans="1:5" ht="16">
      <c r="A63" t="s">
        <v>282</v>
      </c>
      <c r="B63" t="s">
        <v>0</v>
      </c>
      <c r="C63">
        <v>2.2759999999999998</v>
      </c>
      <c r="D63">
        <v>0</v>
      </c>
      <c r="E63">
        <v>62</v>
      </c>
    </row>
    <row r="64" spans="1:5" ht="16">
      <c r="A64" t="s">
        <v>283</v>
      </c>
      <c r="B64" t="s">
        <v>0</v>
      </c>
      <c r="C64">
        <v>1.397</v>
      </c>
      <c r="D64">
        <v>0</v>
      </c>
      <c r="E64">
        <v>63</v>
      </c>
    </row>
    <row r="65" spans="1:5" ht="16">
      <c r="A65" t="s">
        <v>284</v>
      </c>
      <c r="B65" t="s">
        <v>0</v>
      </c>
      <c r="C65">
        <v>0.93379999999999996</v>
      </c>
      <c r="D65">
        <v>0</v>
      </c>
      <c r="E65">
        <v>64</v>
      </c>
    </row>
    <row r="66" spans="1:5" ht="16">
      <c r="A66" t="s">
        <v>285</v>
      </c>
      <c r="B66" t="s">
        <v>0</v>
      </c>
      <c r="C66">
        <v>0.71230000000000004</v>
      </c>
      <c r="D66">
        <v>0</v>
      </c>
      <c r="E66">
        <v>65</v>
      </c>
    </row>
    <row r="67" spans="1:5" ht="16">
      <c r="A67" t="s">
        <v>286</v>
      </c>
      <c r="B67" t="s">
        <v>0</v>
      </c>
      <c r="C67">
        <v>0.57630000000000003</v>
      </c>
      <c r="D67">
        <v>0</v>
      </c>
      <c r="E67">
        <v>66</v>
      </c>
    </row>
    <row r="68" spans="1:5" ht="16">
      <c r="A68" t="s">
        <v>287</v>
      </c>
      <c r="B68" t="s">
        <v>0</v>
      </c>
      <c r="C68">
        <v>0.5625</v>
      </c>
      <c r="D68">
        <v>0</v>
      </c>
      <c r="E68">
        <v>67</v>
      </c>
    </row>
    <row r="69" spans="1:5" ht="16">
      <c r="A69" t="s">
        <v>288</v>
      </c>
      <c r="B69" t="s">
        <v>0</v>
      </c>
      <c r="C69">
        <v>0.82850000000000001</v>
      </c>
      <c r="D69">
        <v>0</v>
      </c>
      <c r="E69">
        <v>68</v>
      </c>
    </row>
    <row r="70" spans="1:5" ht="16">
      <c r="A70" t="s">
        <v>289</v>
      </c>
      <c r="B70" t="s">
        <v>0</v>
      </c>
      <c r="C70">
        <v>1.1359999999999999</v>
      </c>
      <c r="D70">
        <v>0</v>
      </c>
      <c r="E70">
        <v>69</v>
      </c>
    </row>
    <row r="71" spans="1:5" ht="16">
      <c r="A71" t="s">
        <v>290</v>
      </c>
      <c r="B71" t="s">
        <v>0</v>
      </c>
      <c r="C71">
        <v>3.2229999999999999</v>
      </c>
      <c r="D71">
        <v>0</v>
      </c>
      <c r="E71">
        <v>70</v>
      </c>
    </row>
    <row r="72" spans="1:5" ht="16">
      <c r="A72" t="s">
        <v>291</v>
      </c>
      <c r="B72" t="s">
        <v>0</v>
      </c>
      <c r="C72">
        <v>72.239999999999995</v>
      </c>
      <c r="D72">
        <v>0</v>
      </c>
      <c r="E72">
        <v>13</v>
      </c>
    </row>
    <row r="73" spans="1:5" ht="16">
      <c r="A73" t="s">
        <v>292</v>
      </c>
      <c r="B73" t="s">
        <v>0</v>
      </c>
      <c r="C73">
        <v>0.3891</v>
      </c>
      <c r="D73">
        <v>0</v>
      </c>
      <c r="E73">
        <v>18</v>
      </c>
    </row>
    <row r="74" spans="1:5" ht="16">
      <c r="A74" t="s">
        <v>86</v>
      </c>
      <c r="B74" t="s">
        <v>0</v>
      </c>
      <c r="C74">
        <v>0.88759999999999994</v>
      </c>
      <c r="D74">
        <v>0</v>
      </c>
      <c r="E74">
        <v>0</v>
      </c>
    </row>
    <row r="75" spans="1:5" ht="16">
      <c r="A75"/>
      <c r="B75"/>
      <c r="C75"/>
      <c r="D75"/>
      <c r="E75"/>
    </row>
    <row r="76" spans="1:5" ht="16">
      <c r="A76"/>
      <c r="B76"/>
      <c r="C76"/>
      <c r="D76"/>
      <c r="E76"/>
    </row>
    <row r="77" spans="1:5" ht="16">
      <c r="A77"/>
      <c r="B77"/>
      <c r="C77"/>
      <c r="D77"/>
      <c r="E77"/>
    </row>
    <row r="78" spans="1:5" ht="16">
      <c r="A78"/>
      <c r="B78"/>
      <c r="C78"/>
      <c r="D78"/>
      <c r="E78"/>
    </row>
    <row r="79" spans="1:5" ht="16">
      <c r="A79"/>
      <c r="B79"/>
      <c r="C79"/>
      <c r="D79"/>
      <c r="E79"/>
    </row>
    <row r="80" spans="1:5" ht="16">
      <c r="A80"/>
      <c r="B80"/>
      <c r="C80"/>
      <c r="D80"/>
      <c r="E80"/>
    </row>
    <row r="81" spans="1:5" ht="16">
      <c r="A81"/>
      <c r="B81"/>
      <c r="C81"/>
      <c r="D81"/>
      <c r="E81"/>
    </row>
    <row r="82" spans="1:5" ht="16">
      <c r="A82"/>
      <c r="B82"/>
      <c r="C82"/>
      <c r="D82"/>
      <c r="E82"/>
    </row>
    <row r="83" spans="1:5" ht="16">
      <c r="A83"/>
      <c r="B83"/>
      <c r="C83"/>
      <c r="D83"/>
      <c r="E83"/>
    </row>
    <row r="84" spans="1:5" ht="16">
      <c r="A84"/>
      <c r="B84"/>
      <c r="C84"/>
      <c r="D84"/>
      <c r="E84"/>
    </row>
    <row r="85" spans="1:5" ht="16">
      <c r="A85"/>
      <c r="B85"/>
      <c r="C85"/>
      <c r="D85"/>
      <c r="E85"/>
    </row>
    <row r="86" spans="1:5" ht="16">
      <c r="A86"/>
      <c r="B86"/>
      <c r="C86"/>
      <c r="D86"/>
      <c r="E86"/>
    </row>
    <row r="87" spans="1:5" ht="16">
      <c r="A87"/>
      <c r="B87"/>
      <c r="C87"/>
      <c r="D87"/>
      <c r="E87"/>
    </row>
    <row r="88" spans="1:5" ht="16">
      <c r="A88"/>
      <c r="B88"/>
      <c r="C88"/>
      <c r="D88"/>
      <c r="E88"/>
    </row>
    <row r="89" spans="1:5" ht="16">
      <c r="A89"/>
      <c r="B89"/>
      <c r="C89"/>
      <c r="D89"/>
      <c r="E89"/>
    </row>
    <row r="90" spans="1:5" ht="16">
      <c r="A90"/>
      <c r="B90"/>
      <c r="C90"/>
      <c r="D90"/>
      <c r="E90"/>
    </row>
    <row r="91" spans="1:5" ht="16">
      <c r="A91"/>
      <c r="B91"/>
      <c r="C91"/>
      <c r="D91"/>
      <c r="E91"/>
    </row>
    <row r="92" spans="1:5" ht="16">
      <c r="A92"/>
      <c r="B92"/>
      <c r="C92"/>
      <c r="D92"/>
      <c r="E92"/>
    </row>
    <row r="93" spans="1:5" ht="16">
      <c r="A93"/>
      <c r="B93"/>
      <c r="C93"/>
      <c r="D93"/>
      <c r="E93"/>
    </row>
    <row r="94" spans="1:5" ht="16">
      <c r="A94"/>
      <c r="B94"/>
      <c r="C94"/>
      <c r="D94"/>
      <c r="E94"/>
    </row>
    <row r="95" spans="1:5" ht="16">
      <c r="A95"/>
      <c r="B95"/>
      <c r="C95"/>
      <c r="D95"/>
      <c r="E95"/>
    </row>
    <row r="96" spans="1:5" ht="16">
      <c r="A96"/>
      <c r="B96"/>
      <c r="C96"/>
      <c r="D96"/>
      <c r="E96"/>
    </row>
    <row r="97" spans="1:5" ht="16">
      <c r="A97"/>
      <c r="B97"/>
      <c r="C97"/>
      <c r="D97"/>
      <c r="E97"/>
    </row>
    <row r="98" spans="1:5" ht="16">
      <c r="A98"/>
      <c r="B98"/>
      <c r="C98"/>
      <c r="D98"/>
      <c r="E98"/>
    </row>
    <row r="99" spans="1:5" ht="16">
      <c r="A99"/>
      <c r="B99"/>
      <c r="C99"/>
      <c r="D99"/>
      <c r="E99"/>
    </row>
    <row r="100" spans="1:5" ht="16">
      <c r="A100"/>
      <c r="B100"/>
      <c r="C100"/>
      <c r="D100"/>
      <c r="E100"/>
    </row>
    <row r="101" spans="1:5" ht="16">
      <c r="A101"/>
      <c r="B101"/>
      <c r="C101"/>
      <c r="D101"/>
      <c r="E101"/>
    </row>
    <row r="102" spans="1:5" ht="16">
      <c r="A102"/>
      <c r="B102"/>
      <c r="C102"/>
      <c r="D102"/>
      <c r="E102"/>
    </row>
    <row r="103" spans="1:5" ht="16">
      <c r="A103"/>
      <c r="B103"/>
      <c r="C103"/>
      <c r="D103"/>
      <c r="E103"/>
    </row>
    <row r="104" spans="1:5" ht="16">
      <c r="A104"/>
      <c r="B104"/>
      <c r="C104"/>
      <c r="D104"/>
      <c r="E104"/>
    </row>
    <row r="105" spans="1:5" ht="16">
      <c r="A105"/>
      <c r="B105"/>
      <c r="C105"/>
      <c r="D105"/>
      <c r="E105"/>
    </row>
    <row r="106" spans="1:5" ht="16">
      <c r="A106"/>
      <c r="B106"/>
      <c r="C106"/>
      <c r="D106"/>
      <c r="E106"/>
    </row>
    <row r="107" spans="1:5" ht="16">
      <c r="A107"/>
      <c r="B107"/>
      <c r="C107"/>
      <c r="D107"/>
      <c r="E107"/>
    </row>
    <row r="108" spans="1:5" ht="16">
      <c r="A108"/>
      <c r="B108"/>
      <c r="C108"/>
      <c r="D108"/>
      <c r="E108"/>
    </row>
    <row r="109" spans="1:5" ht="16">
      <c r="A109"/>
      <c r="B109"/>
      <c r="C109"/>
      <c r="D109"/>
      <c r="E109"/>
    </row>
    <row r="110" spans="1:5" ht="16">
      <c r="A110"/>
      <c r="B110"/>
      <c r="C110"/>
      <c r="D110"/>
      <c r="E110"/>
    </row>
    <row r="111" spans="1:5" ht="16">
      <c r="A111"/>
      <c r="B111"/>
      <c r="C111"/>
      <c r="D111"/>
      <c r="E111"/>
    </row>
    <row r="112" spans="1:5" ht="16">
      <c r="A112"/>
      <c r="B112"/>
      <c r="C112"/>
      <c r="D112"/>
      <c r="E112"/>
    </row>
    <row r="113" spans="1:5" ht="16">
      <c r="A113"/>
      <c r="B113"/>
      <c r="C113"/>
      <c r="D113"/>
      <c r="E113"/>
    </row>
    <row r="114" spans="1:5" ht="16">
      <c r="A114"/>
      <c r="B114"/>
      <c r="C114"/>
      <c r="D114"/>
      <c r="E114"/>
    </row>
    <row r="115" spans="1:5" ht="16">
      <c r="A115"/>
      <c r="B115"/>
      <c r="C115"/>
      <c r="D115"/>
      <c r="E115"/>
    </row>
    <row r="116" spans="1:5" ht="16">
      <c r="A116"/>
      <c r="B116"/>
      <c r="C116"/>
      <c r="D116"/>
      <c r="E116"/>
    </row>
    <row r="117" spans="1:5" ht="16">
      <c r="A117"/>
      <c r="B117"/>
      <c r="C117"/>
      <c r="D117"/>
      <c r="E117"/>
    </row>
    <row r="118" spans="1:5" ht="16">
      <c r="A118"/>
      <c r="B118"/>
      <c r="C118"/>
      <c r="D118"/>
      <c r="E118"/>
    </row>
    <row r="119" spans="1:5" ht="16">
      <c r="A119"/>
      <c r="B119"/>
      <c r="C119"/>
      <c r="D119"/>
      <c r="E119"/>
    </row>
    <row r="120" spans="1:5" ht="16">
      <c r="A120"/>
      <c r="B120"/>
      <c r="C120"/>
      <c r="D120"/>
      <c r="E120"/>
    </row>
    <row r="121" spans="1:5" ht="16">
      <c r="A121"/>
      <c r="B121"/>
      <c r="C121"/>
      <c r="D121"/>
      <c r="E121"/>
    </row>
    <row r="122" spans="1:5" ht="16">
      <c r="A122"/>
      <c r="B122"/>
      <c r="C122"/>
      <c r="D122"/>
      <c r="E122"/>
    </row>
    <row r="123" spans="1:5" ht="16">
      <c r="A123"/>
      <c r="B123"/>
      <c r="C123"/>
      <c r="D123"/>
      <c r="E123"/>
    </row>
    <row r="124" spans="1:5" ht="16">
      <c r="A124"/>
      <c r="B124"/>
      <c r="C124"/>
      <c r="D124"/>
      <c r="E124"/>
    </row>
    <row r="125" spans="1:5" ht="16">
      <c r="A125"/>
      <c r="B125"/>
      <c r="C125"/>
      <c r="D125"/>
      <c r="E125"/>
    </row>
    <row r="126" spans="1:5" ht="16">
      <c r="A126"/>
      <c r="B126"/>
      <c r="C126"/>
      <c r="D126"/>
      <c r="E126"/>
    </row>
    <row r="127" spans="1:5" ht="16">
      <c r="A127"/>
      <c r="B127"/>
      <c r="C127"/>
      <c r="D127"/>
      <c r="E127"/>
    </row>
    <row r="128" spans="1:5" ht="16">
      <c r="A128"/>
      <c r="B128"/>
      <c r="C128"/>
      <c r="D128"/>
      <c r="E128"/>
    </row>
    <row r="129" spans="1:5" ht="16">
      <c r="A129"/>
      <c r="B129"/>
      <c r="C129"/>
      <c r="D129"/>
      <c r="E129"/>
    </row>
    <row r="130" spans="1:5" ht="16">
      <c r="A130"/>
      <c r="B130"/>
      <c r="C130"/>
      <c r="D130"/>
      <c r="E130"/>
    </row>
    <row r="131" spans="1:5" ht="16">
      <c r="A131"/>
      <c r="B131"/>
      <c r="C131"/>
      <c r="D131"/>
      <c r="E131"/>
    </row>
    <row r="132" spans="1:5" ht="16">
      <c r="A132"/>
      <c r="B132"/>
      <c r="C132"/>
      <c r="D132"/>
      <c r="E132"/>
    </row>
    <row r="133" spans="1:5" ht="16">
      <c r="A133"/>
      <c r="B133"/>
      <c r="C133"/>
      <c r="D133"/>
      <c r="E133"/>
    </row>
    <row r="134" spans="1:5" ht="16">
      <c r="A134"/>
      <c r="B134"/>
      <c r="C134"/>
      <c r="D134"/>
      <c r="E134"/>
    </row>
    <row r="135" spans="1:5" ht="16">
      <c r="A135"/>
      <c r="B135"/>
      <c r="C135"/>
      <c r="D135"/>
      <c r="E135"/>
    </row>
    <row r="136" spans="1:5" ht="16">
      <c r="A136"/>
      <c r="B136"/>
      <c r="C136"/>
      <c r="D136"/>
      <c r="E136"/>
    </row>
    <row r="137" spans="1:5" ht="16">
      <c r="A137"/>
      <c r="B137"/>
      <c r="C137"/>
      <c r="D137"/>
      <c r="E137"/>
    </row>
    <row r="138" spans="1:5" ht="16">
      <c r="A138"/>
      <c r="B138"/>
      <c r="C138"/>
      <c r="D138"/>
      <c r="E138"/>
    </row>
    <row r="139" spans="1:5" ht="16">
      <c r="A139"/>
      <c r="B139"/>
      <c r="C139"/>
      <c r="D139"/>
      <c r="E139"/>
    </row>
    <row r="140" spans="1:5" ht="16">
      <c r="A140"/>
      <c r="B140"/>
      <c r="C140"/>
      <c r="D140"/>
      <c r="E140"/>
    </row>
    <row r="141" spans="1:5" ht="16">
      <c r="A141"/>
      <c r="B141"/>
      <c r="C141"/>
      <c r="D141"/>
      <c r="E141"/>
    </row>
    <row r="142" spans="1:5" ht="16">
      <c r="A142"/>
      <c r="B142"/>
      <c r="C142"/>
      <c r="D142"/>
      <c r="E142"/>
    </row>
    <row r="143" spans="1:5" ht="16">
      <c r="A143"/>
      <c r="B143"/>
      <c r="C143"/>
      <c r="D143"/>
      <c r="E143"/>
    </row>
    <row r="144" spans="1:5" ht="16">
      <c r="A144"/>
      <c r="B144"/>
      <c r="C144"/>
      <c r="D144"/>
      <c r="E144"/>
    </row>
    <row r="145" spans="1:5" ht="16">
      <c r="A145"/>
      <c r="B145"/>
      <c r="C145"/>
      <c r="D145"/>
      <c r="E145"/>
    </row>
    <row r="146" spans="1:5" ht="16">
      <c r="A146"/>
      <c r="B146"/>
      <c r="C146"/>
      <c r="D146"/>
      <c r="E146"/>
    </row>
    <row r="147" spans="1:5" ht="16">
      <c r="A147"/>
      <c r="B147"/>
      <c r="C147"/>
      <c r="D147"/>
      <c r="E147"/>
    </row>
    <row r="148" spans="1:5" ht="16">
      <c r="A148"/>
      <c r="B148"/>
      <c r="C148"/>
      <c r="D148"/>
      <c r="E148"/>
    </row>
    <row r="149" spans="1:5" ht="16">
      <c r="A149"/>
      <c r="B149"/>
      <c r="C149"/>
      <c r="D149"/>
      <c r="E149"/>
    </row>
    <row r="150" spans="1:5" ht="16">
      <c r="A150"/>
      <c r="B150"/>
      <c r="C150"/>
      <c r="D150"/>
      <c r="E150"/>
    </row>
    <row r="151" spans="1:5" ht="16">
      <c r="A151"/>
      <c r="B151"/>
      <c r="C151"/>
      <c r="D151"/>
      <c r="E151"/>
    </row>
    <row r="152" spans="1:5" ht="16">
      <c r="A152"/>
      <c r="B152"/>
      <c r="C152"/>
      <c r="D152"/>
      <c r="E152"/>
    </row>
    <row r="153" spans="1:5" ht="16">
      <c r="A153"/>
      <c r="B153"/>
      <c r="C153"/>
      <c r="D153"/>
      <c r="E153"/>
    </row>
    <row r="154" spans="1:5" ht="16">
      <c r="A154"/>
      <c r="B154"/>
      <c r="C154"/>
      <c r="D154"/>
      <c r="E154"/>
    </row>
    <row r="155" spans="1:5" ht="16">
      <c r="A155"/>
      <c r="B155"/>
      <c r="C155"/>
      <c r="D155"/>
      <c r="E155"/>
    </row>
    <row r="156" spans="1:5" ht="16">
      <c r="A156"/>
      <c r="B156"/>
      <c r="C156"/>
      <c r="D156"/>
      <c r="E156"/>
    </row>
    <row r="157" spans="1:5" ht="16">
      <c r="A157"/>
      <c r="B157"/>
      <c r="C157"/>
      <c r="D157"/>
      <c r="E157"/>
    </row>
    <row r="158" spans="1:5" ht="16">
      <c r="A158"/>
      <c r="B158"/>
      <c r="C158"/>
      <c r="D158"/>
      <c r="E158"/>
    </row>
    <row r="159" spans="1:5" ht="16">
      <c r="A159"/>
      <c r="B159"/>
      <c r="C159"/>
      <c r="D159"/>
      <c r="E159"/>
    </row>
    <row r="160" spans="1:5" ht="16">
      <c r="A160"/>
      <c r="B160"/>
      <c r="C160"/>
      <c r="D160"/>
      <c r="E160"/>
    </row>
    <row r="161" spans="1:5" ht="16">
      <c r="A161"/>
      <c r="B161"/>
      <c r="C161"/>
      <c r="D161"/>
      <c r="E161"/>
    </row>
    <row r="162" spans="1:5" ht="16">
      <c r="A162"/>
      <c r="B162"/>
      <c r="C162"/>
      <c r="D162"/>
      <c r="E162"/>
    </row>
    <row r="163" spans="1:5" ht="16">
      <c r="A163"/>
      <c r="B163"/>
      <c r="C163"/>
      <c r="D163"/>
      <c r="E163"/>
    </row>
    <row r="164" spans="1:5" ht="16">
      <c r="A164"/>
      <c r="B164"/>
      <c r="C164"/>
      <c r="D164"/>
      <c r="E164"/>
    </row>
    <row r="165" spans="1:5" ht="16">
      <c r="A165"/>
      <c r="B165"/>
      <c r="C165"/>
      <c r="D165"/>
      <c r="E165"/>
    </row>
    <row r="166" spans="1:5" ht="16">
      <c r="A166"/>
      <c r="B166"/>
      <c r="C166"/>
      <c r="D166"/>
      <c r="E166"/>
    </row>
    <row r="167" spans="1:5" ht="16">
      <c r="A167"/>
      <c r="B167"/>
      <c r="C167"/>
      <c r="D167"/>
      <c r="E167"/>
    </row>
    <row r="168" spans="1:5" ht="16">
      <c r="A168"/>
      <c r="B168"/>
      <c r="C168"/>
      <c r="D168"/>
      <c r="E168"/>
    </row>
    <row r="169" spans="1:5" ht="16">
      <c r="A169"/>
      <c r="B169"/>
      <c r="C169"/>
      <c r="D169"/>
      <c r="E169"/>
    </row>
    <row r="170" spans="1:5" ht="16">
      <c r="A170"/>
      <c r="B170"/>
      <c r="C170"/>
      <c r="D170"/>
      <c r="E170"/>
    </row>
    <row r="171" spans="1:5" ht="16">
      <c r="A171"/>
      <c r="B171"/>
      <c r="C171"/>
      <c r="D171"/>
      <c r="E171"/>
    </row>
    <row r="172" spans="1:5" ht="16">
      <c r="A172"/>
      <c r="B172"/>
      <c r="C172"/>
      <c r="D172"/>
      <c r="E172"/>
    </row>
    <row r="173" spans="1:5" ht="16">
      <c r="A173"/>
      <c r="B173"/>
      <c r="C173"/>
      <c r="D173"/>
      <c r="E173"/>
    </row>
    <row r="174" spans="1:5" ht="16">
      <c r="A174"/>
      <c r="B174"/>
      <c r="C174"/>
      <c r="D174"/>
      <c r="E174"/>
    </row>
    <row r="175" spans="1:5" ht="16">
      <c r="A175"/>
      <c r="B175"/>
      <c r="C175"/>
      <c r="D175"/>
      <c r="E175"/>
    </row>
    <row r="176" spans="1:5" ht="16">
      <c r="A176"/>
      <c r="B176"/>
      <c r="C176"/>
      <c r="D176"/>
      <c r="E176"/>
    </row>
    <row r="177" spans="1:5" ht="16">
      <c r="A177"/>
      <c r="B177"/>
      <c r="C177"/>
      <c r="D177"/>
      <c r="E177"/>
    </row>
    <row r="178" spans="1:5" ht="16">
      <c r="A178"/>
      <c r="B178"/>
      <c r="C178"/>
      <c r="D178"/>
      <c r="E178"/>
    </row>
    <row r="179" spans="1:5" ht="16">
      <c r="A179"/>
      <c r="B179"/>
      <c r="C179"/>
      <c r="D179"/>
      <c r="E179"/>
    </row>
    <row r="180" spans="1:5" ht="16">
      <c r="A180"/>
      <c r="B180"/>
      <c r="C180"/>
      <c r="D180"/>
      <c r="E180"/>
    </row>
    <row r="181" spans="1:5" ht="16">
      <c r="A181"/>
      <c r="B181"/>
      <c r="C181"/>
      <c r="D181"/>
      <c r="E181"/>
    </row>
    <row r="182" spans="1:5" ht="16">
      <c r="A182"/>
      <c r="B182"/>
      <c r="C182"/>
      <c r="D182"/>
      <c r="E182"/>
    </row>
    <row r="183" spans="1:5" ht="16">
      <c r="A183"/>
      <c r="B183"/>
      <c r="C183"/>
      <c r="D183"/>
      <c r="E183"/>
    </row>
    <row r="184" spans="1:5" ht="16">
      <c r="A184"/>
      <c r="B184"/>
      <c r="C184"/>
      <c r="D184"/>
      <c r="E184"/>
    </row>
    <row r="185" spans="1:5" ht="16">
      <c r="A185"/>
      <c r="B185"/>
      <c r="C185"/>
      <c r="D185"/>
      <c r="E185"/>
    </row>
    <row r="186" spans="1:5" ht="16">
      <c r="A186"/>
      <c r="B186"/>
      <c r="C186"/>
      <c r="D186"/>
      <c r="E186"/>
    </row>
    <row r="187" spans="1:5" ht="16">
      <c r="A187"/>
      <c r="B187"/>
      <c r="C187"/>
      <c r="D187"/>
      <c r="E187"/>
    </row>
    <row r="188" spans="1:5" ht="16">
      <c r="A188"/>
      <c r="B188"/>
      <c r="C188"/>
      <c r="D188"/>
      <c r="E188"/>
    </row>
    <row r="189" spans="1:5" ht="16">
      <c r="A189"/>
      <c r="B189"/>
      <c r="C189"/>
      <c r="D189"/>
      <c r="E189"/>
    </row>
    <row r="190" spans="1:5" ht="16">
      <c r="A190"/>
      <c r="B190"/>
      <c r="C190"/>
      <c r="D190"/>
      <c r="E190"/>
    </row>
    <row r="191" spans="1:5" ht="16">
      <c r="A191"/>
      <c r="B191"/>
      <c r="C191"/>
      <c r="D191"/>
      <c r="E191"/>
    </row>
    <row r="192" spans="1:5" ht="16">
      <c r="A192"/>
      <c r="B192"/>
      <c r="C192"/>
      <c r="D192"/>
      <c r="E192"/>
    </row>
    <row r="193" spans="1:5" ht="16">
      <c r="A193"/>
      <c r="B193"/>
      <c r="C193"/>
      <c r="D193"/>
      <c r="E193"/>
    </row>
    <row r="194" spans="1:5" ht="16">
      <c r="A194"/>
      <c r="B194"/>
      <c r="C194"/>
      <c r="D194"/>
      <c r="E194"/>
    </row>
    <row r="195" spans="1:5" ht="16">
      <c r="A195"/>
      <c r="B195"/>
      <c r="C195"/>
      <c r="D195"/>
      <c r="E195"/>
    </row>
    <row r="196" spans="1:5" ht="16">
      <c r="A196"/>
      <c r="B196"/>
      <c r="C196"/>
      <c r="D196"/>
      <c r="E19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4CEB6-0025-E047-BC48-B1EBC5DDD50E}">
  <dimension ref="A1:BO134"/>
  <sheetViews>
    <sheetView zoomScale="130" zoomScaleNormal="130" workbookViewId="0">
      <selection activeCell="K12" sqref="K12"/>
    </sheetView>
  </sheetViews>
  <sheetFormatPr baseColWidth="10" defaultColWidth="15.5" defaultRowHeight="16" customHeight="1"/>
  <cols>
    <col min="1" max="3" width="15.5" style="20"/>
    <col min="4" max="4" width="3.33203125" style="20" customWidth="1"/>
    <col min="5" max="7" width="15.5" style="20"/>
    <col min="8" max="8" width="3.33203125" style="20" customWidth="1"/>
    <col min="9" max="16384" width="15.5" style="20"/>
  </cols>
  <sheetData>
    <row r="1" spans="1:67" ht="16" customHeight="1">
      <c r="A1" s="91" t="s">
        <v>43</v>
      </c>
      <c r="B1" s="91"/>
      <c r="C1" s="91"/>
      <c r="D1" s="91"/>
      <c r="E1" s="91"/>
      <c r="F1" s="91"/>
      <c r="G1" s="91"/>
      <c r="I1" s="89" t="s">
        <v>4</v>
      </c>
      <c r="J1" s="89"/>
      <c r="K1" s="89"/>
      <c r="L1" s="89"/>
      <c r="M1" s="89"/>
    </row>
    <row r="2" spans="1:67" ht="16" customHeight="1">
      <c r="A2" s="87" t="s">
        <v>36</v>
      </c>
      <c r="B2" s="87"/>
      <c r="C2" s="87"/>
      <c r="E2" s="88"/>
      <c r="F2" s="88"/>
      <c r="G2" s="88"/>
      <c r="I2" s="24" t="s">
        <v>5</v>
      </c>
      <c r="J2" s="24" t="s">
        <v>41</v>
      </c>
      <c r="K2" s="24" t="s">
        <v>6</v>
      </c>
      <c r="L2" s="21" t="s">
        <v>7</v>
      </c>
      <c r="M2" s="21" t="s">
        <v>8</v>
      </c>
    </row>
    <row r="3" spans="1:67" ht="16" customHeight="1">
      <c r="A3" s="22" t="s">
        <v>1</v>
      </c>
      <c r="B3" s="22" t="s">
        <v>2</v>
      </c>
      <c r="C3" s="22" t="s">
        <v>42</v>
      </c>
      <c r="E3" s="23"/>
      <c r="F3" s="23"/>
      <c r="G3" s="23"/>
      <c r="I3" s="25" t="s">
        <v>0</v>
      </c>
      <c r="J3" s="26"/>
      <c r="K3" s="25"/>
      <c r="L3" s="25"/>
      <c r="M3" s="25"/>
    </row>
    <row r="4" spans="1:67" ht="16" customHeight="1">
      <c r="A4" s="20" t="s">
        <v>35</v>
      </c>
      <c r="B4" s="20">
        <f>working_data!C10</f>
        <v>0.3301</v>
      </c>
      <c r="C4" s="20">
        <v>0</v>
      </c>
      <c r="I4" s="25" t="s">
        <v>3</v>
      </c>
      <c r="J4" s="26"/>
      <c r="K4" s="25"/>
      <c r="L4" s="25"/>
      <c r="M4" s="25"/>
    </row>
    <row r="5" spans="1:67" ht="16" customHeight="1">
      <c r="A5" s="20" t="s">
        <v>17</v>
      </c>
      <c r="B5" s="20">
        <f>working_data!C4</f>
        <v>137.30000000000001</v>
      </c>
      <c r="C5" s="20">
        <v>20</v>
      </c>
    </row>
    <row r="6" spans="1:67" ht="16" customHeight="1">
      <c r="A6" s="20" t="s">
        <v>18</v>
      </c>
      <c r="B6" s="20">
        <f>working_data!C5</f>
        <v>69.06</v>
      </c>
      <c r="C6" s="20">
        <v>10</v>
      </c>
      <c r="I6" s="90" t="s">
        <v>36</v>
      </c>
      <c r="J6" s="90"/>
      <c r="K6" s="90"/>
      <c r="L6" s="90"/>
      <c r="M6" s="90"/>
      <c r="N6" s="90"/>
      <c r="O6" s="90"/>
      <c r="P6" s="90"/>
      <c r="Q6" s="90"/>
      <c r="S6" s="86" t="s">
        <v>37</v>
      </c>
      <c r="T6" s="86"/>
      <c r="U6" s="86"/>
      <c r="V6" s="86"/>
      <c r="W6" s="86"/>
      <c r="X6" s="86"/>
      <c r="Y6" s="86"/>
      <c r="Z6" s="86"/>
      <c r="AA6" s="86"/>
    </row>
    <row r="7" spans="1:67" ht="16" customHeight="1">
      <c r="A7" s="20" t="s">
        <v>19</v>
      </c>
      <c r="B7" s="20">
        <f>working_data!C6</f>
        <v>34.200000000000003</v>
      </c>
      <c r="C7" s="20">
        <v>5</v>
      </c>
      <c r="I7" t="s">
        <v>59</v>
      </c>
      <c r="J7"/>
      <c r="K7"/>
      <c r="L7"/>
      <c r="M7"/>
      <c r="N7"/>
      <c r="O7"/>
      <c r="P7"/>
      <c r="Q7"/>
      <c r="S7" t="s">
        <v>59</v>
      </c>
      <c r="T7"/>
      <c r="U7"/>
      <c r="V7"/>
      <c r="W7"/>
      <c r="X7"/>
      <c r="Y7"/>
      <c r="Z7"/>
      <c r="AA7"/>
    </row>
    <row r="8" spans="1:67" ht="16" customHeight="1" thickBot="1">
      <c r="A8" s="20" t="s">
        <v>21</v>
      </c>
      <c r="B8" s="20">
        <f>working_data!C7</f>
        <v>14.19</v>
      </c>
      <c r="C8" s="20">
        <v>2</v>
      </c>
      <c r="I8"/>
      <c r="J8"/>
      <c r="K8"/>
      <c r="L8"/>
      <c r="M8"/>
      <c r="N8"/>
      <c r="O8"/>
      <c r="P8"/>
      <c r="Q8"/>
      <c r="S8"/>
      <c r="T8"/>
      <c r="U8"/>
      <c r="V8"/>
      <c r="W8"/>
      <c r="X8"/>
      <c r="Y8"/>
      <c r="Z8"/>
      <c r="AA8"/>
      <c r="AC8" s="4"/>
      <c r="AD8" s="4"/>
      <c r="AE8" s="4"/>
      <c r="AF8" s="4"/>
      <c r="AG8" s="4"/>
      <c r="AH8" s="4"/>
      <c r="AI8" s="4"/>
      <c r="AJ8" s="4"/>
      <c r="AK8" s="4"/>
      <c r="AM8" s="4"/>
      <c r="AN8" s="4"/>
      <c r="AO8" s="4"/>
      <c r="AP8" s="4"/>
      <c r="AQ8" s="4"/>
      <c r="AR8" s="4"/>
      <c r="AS8" s="4"/>
      <c r="AT8" s="4"/>
      <c r="AU8" s="4"/>
      <c r="AW8" s="4"/>
      <c r="AX8" s="4"/>
      <c r="AY8" s="4"/>
      <c r="AZ8" s="4"/>
      <c r="BA8" s="4"/>
      <c r="BB8" s="4"/>
      <c r="BC8" s="4"/>
      <c r="BD8" s="4"/>
      <c r="BE8" s="4"/>
      <c r="BG8" s="4"/>
      <c r="BH8" s="4"/>
      <c r="BI8" s="4"/>
      <c r="BJ8" s="4"/>
      <c r="BK8" s="4"/>
      <c r="BL8" s="4"/>
      <c r="BM8" s="4"/>
      <c r="BN8" s="4"/>
      <c r="BO8" s="4"/>
    </row>
    <row r="9" spans="1:67" ht="16" customHeight="1">
      <c r="A9" s="20" t="s">
        <v>20</v>
      </c>
      <c r="B9" s="20">
        <f>working_data!C8</f>
        <v>7.1790000000000003</v>
      </c>
      <c r="C9" s="20">
        <v>1</v>
      </c>
      <c r="I9" s="46" t="s">
        <v>60</v>
      </c>
      <c r="J9" s="46"/>
      <c r="K9"/>
      <c r="L9"/>
      <c r="M9"/>
      <c r="N9"/>
      <c r="O9"/>
      <c r="P9"/>
      <c r="Q9"/>
      <c r="S9" s="46"/>
      <c r="T9" s="46"/>
      <c r="U9"/>
      <c r="V9"/>
      <c r="W9"/>
      <c r="X9"/>
      <c r="Y9"/>
      <c r="Z9"/>
      <c r="AA9"/>
      <c r="AC9" s="4"/>
      <c r="AD9" s="4"/>
      <c r="AE9" s="4"/>
      <c r="AF9" s="4"/>
      <c r="AG9" s="4"/>
      <c r="AH9" s="4"/>
      <c r="AI9" s="4"/>
      <c r="AJ9" s="4"/>
      <c r="AK9" s="4"/>
      <c r="AM9" s="4"/>
      <c r="AN9" s="4"/>
      <c r="AO9" s="4"/>
      <c r="AP9" s="4"/>
      <c r="AQ9" s="4"/>
      <c r="AR9" s="4"/>
      <c r="AS9" s="4"/>
      <c r="AT9" s="4"/>
      <c r="AU9" s="4"/>
      <c r="AW9" s="4"/>
      <c r="AX9" s="4"/>
      <c r="AY9" s="4"/>
      <c r="AZ9" s="4"/>
      <c r="BA9" s="4"/>
      <c r="BB9" s="4"/>
      <c r="BC9" s="4"/>
      <c r="BD9" s="4"/>
      <c r="BE9" s="4"/>
      <c r="BG9" s="4"/>
      <c r="BH9" s="4"/>
      <c r="BI9" s="4"/>
      <c r="BJ9" s="4"/>
      <c r="BK9" s="4"/>
      <c r="BL9" s="4"/>
      <c r="BM9" s="4"/>
      <c r="BN9" s="4"/>
      <c r="BO9" s="4"/>
    </row>
    <row r="10" spans="1:67" ht="16" customHeight="1">
      <c r="A10" s="20" t="s">
        <v>22</v>
      </c>
      <c r="B10" s="20">
        <f>working_data!C9</f>
        <v>3.66</v>
      </c>
      <c r="C10" s="20">
        <v>0.5</v>
      </c>
      <c r="I10" t="s">
        <v>61</v>
      </c>
      <c r="J10">
        <v>0.9999923325460881</v>
      </c>
      <c r="K10"/>
      <c r="L10"/>
      <c r="M10"/>
      <c r="N10"/>
      <c r="O10"/>
      <c r="P10"/>
      <c r="Q10"/>
      <c r="S10"/>
      <c r="T10"/>
      <c r="U10"/>
      <c r="V10"/>
      <c r="W10"/>
      <c r="X10"/>
      <c r="Y10"/>
      <c r="Z10"/>
      <c r="AA10"/>
      <c r="AC10" s="27"/>
      <c r="AD10" s="27"/>
      <c r="AE10" s="4"/>
      <c r="AF10" s="4"/>
      <c r="AG10" s="4"/>
      <c r="AH10" s="4"/>
      <c r="AI10" s="4"/>
      <c r="AJ10" s="4"/>
      <c r="AK10" s="4"/>
      <c r="AM10" s="27"/>
      <c r="AN10" s="27"/>
      <c r="AO10" s="4"/>
      <c r="AP10" s="4"/>
      <c r="AQ10" s="4"/>
      <c r="AR10" s="4"/>
      <c r="AS10" s="4"/>
      <c r="AT10" s="4"/>
      <c r="AU10" s="4"/>
      <c r="AW10" s="27"/>
      <c r="AX10" s="27"/>
      <c r="AY10" s="4"/>
      <c r="AZ10" s="4"/>
      <c r="BA10" s="4"/>
      <c r="BB10" s="4"/>
      <c r="BC10" s="4"/>
      <c r="BD10" s="4"/>
      <c r="BE10" s="4"/>
      <c r="BG10" s="27"/>
      <c r="BH10" s="27"/>
      <c r="BI10" s="4"/>
      <c r="BJ10" s="4"/>
      <c r="BK10" s="4"/>
      <c r="BL10" s="4"/>
      <c r="BM10" s="4"/>
      <c r="BN10" s="4"/>
      <c r="BO10" s="4"/>
    </row>
    <row r="11" spans="1:67" ht="16" customHeight="1">
      <c r="I11" t="s">
        <v>62</v>
      </c>
      <c r="J11">
        <v>0.99998466515096596</v>
      </c>
      <c r="K11"/>
      <c r="L11"/>
      <c r="M11"/>
      <c r="N11"/>
      <c r="O11"/>
      <c r="P11"/>
      <c r="Q11"/>
      <c r="S11"/>
      <c r="T11"/>
      <c r="U11"/>
      <c r="V11"/>
      <c r="W11"/>
      <c r="X11"/>
      <c r="Y11"/>
      <c r="Z11"/>
      <c r="AA11"/>
      <c r="AC11" s="4"/>
      <c r="AD11" s="4"/>
      <c r="AE11" s="4"/>
      <c r="AF11" s="4"/>
      <c r="AG11" s="4"/>
      <c r="AH11" s="4"/>
      <c r="AI11" s="4"/>
      <c r="AJ11" s="4"/>
      <c r="AK11" s="4"/>
      <c r="AM11" s="4"/>
      <c r="AN11" s="4"/>
      <c r="AO11" s="4"/>
      <c r="AP11" s="4"/>
      <c r="AQ11" s="4"/>
      <c r="AR11" s="4"/>
      <c r="AS11" s="4"/>
      <c r="AT11" s="4"/>
      <c r="AU11" s="4"/>
      <c r="AW11" s="4"/>
      <c r="AX11" s="4"/>
      <c r="AY11" s="4"/>
      <c r="AZ11" s="4"/>
      <c r="BA11" s="4"/>
      <c r="BB11" s="4"/>
      <c r="BC11" s="4"/>
      <c r="BD11" s="4"/>
      <c r="BE11" s="4"/>
      <c r="BG11" s="4"/>
      <c r="BH11" s="4"/>
      <c r="BI11" s="4"/>
      <c r="BJ11" s="4"/>
      <c r="BK11" s="4"/>
      <c r="BL11" s="4"/>
      <c r="BM11" s="4"/>
      <c r="BN11" s="4"/>
      <c r="BO11" s="4"/>
    </row>
    <row r="12" spans="1:67" ht="16" customHeight="1">
      <c r="I12" t="s">
        <v>63</v>
      </c>
      <c r="J12">
        <v>0.99998159818115917</v>
      </c>
      <c r="K12"/>
      <c r="L12"/>
      <c r="M12"/>
      <c r="N12"/>
      <c r="O12"/>
      <c r="P12"/>
      <c r="Q12"/>
      <c r="S12"/>
      <c r="T12"/>
      <c r="U12"/>
      <c r="V12"/>
      <c r="W12"/>
      <c r="X12"/>
      <c r="Y12"/>
      <c r="Z12"/>
      <c r="AA12"/>
      <c r="AC12" s="4"/>
      <c r="AD12" s="4"/>
      <c r="AE12" s="4"/>
      <c r="AF12" s="4"/>
      <c r="AG12" s="4"/>
      <c r="AH12" s="4"/>
      <c r="AI12" s="4"/>
      <c r="AJ12" s="4"/>
      <c r="AK12" s="4"/>
      <c r="AM12" s="4"/>
      <c r="AN12" s="4"/>
      <c r="AO12" s="4"/>
      <c r="AP12" s="4"/>
      <c r="AQ12" s="4"/>
      <c r="AR12" s="4"/>
      <c r="AS12" s="4"/>
      <c r="AT12" s="4"/>
      <c r="AU12" s="4"/>
      <c r="AW12" s="4"/>
      <c r="AX12" s="4"/>
      <c r="AY12" s="4"/>
      <c r="AZ12" s="4"/>
      <c r="BA12" s="4"/>
      <c r="BB12" s="4"/>
      <c r="BC12" s="4"/>
      <c r="BD12" s="4"/>
      <c r="BE12" s="4"/>
      <c r="BG12" s="4"/>
      <c r="BH12" s="4"/>
      <c r="BI12" s="4"/>
      <c r="BJ12" s="4"/>
      <c r="BK12" s="4"/>
      <c r="BL12" s="4"/>
      <c r="BM12" s="4"/>
      <c r="BN12" s="4"/>
      <c r="BO12" s="4"/>
    </row>
    <row r="13" spans="1:67" ht="16" customHeight="1">
      <c r="I13" t="s">
        <v>6</v>
      </c>
      <c r="J13">
        <v>0.21416301428857443</v>
      </c>
      <c r="K13"/>
      <c r="L13"/>
      <c r="M13"/>
      <c r="N13"/>
      <c r="O13"/>
      <c r="P13"/>
      <c r="Q13"/>
      <c r="S13"/>
      <c r="T13"/>
      <c r="U13"/>
      <c r="V13"/>
      <c r="W13"/>
      <c r="X13"/>
      <c r="Y13"/>
      <c r="Z13"/>
      <c r="AA13"/>
      <c r="AC13" s="4"/>
      <c r="AD13" s="4"/>
      <c r="AE13" s="4"/>
      <c r="AF13" s="4"/>
      <c r="AG13" s="4"/>
      <c r="AH13" s="4"/>
      <c r="AI13" s="4"/>
      <c r="AJ13" s="4"/>
      <c r="AK13" s="4"/>
      <c r="AM13" s="4"/>
      <c r="AN13" s="4"/>
      <c r="AO13" s="4"/>
      <c r="AP13" s="4"/>
      <c r="AQ13" s="4"/>
      <c r="AR13" s="4"/>
      <c r="AS13" s="4"/>
      <c r="AT13" s="4"/>
      <c r="AU13" s="4"/>
      <c r="AW13" s="4"/>
      <c r="AX13" s="4"/>
      <c r="AY13" s="4"/>
      <c r="AZ13" s="4"/>
      <c r="BA13" s="4"/>
      <c r="BB13" s="4"/>
      <c r="BC13" s="4"/>
      <c r="BD13" s="4"/>
      <c r="BE13" s="4"/>
      <c r="BG13" s="4"/>
      <c r="BH13" s="4"/>
      <c r="BI13" s="4"/>
      <c r="BJ13" s="4"/>
      <c r="BK13" s="4"/>
      <c r="BL13" s="4"/>
      <c r="BM13" s="4"/>
      <c r="BN13" s="4"/>
      <c r="BO13" s="4"/>
    </row>
    <row r="14" spans="1:67" ht="16" customHeight="1" thickBot="1">
      <c r="I14" s="44" t="s">
        <v>64</v>
      </c>
      <c r="J14" s="44">
        <v>7</v>
      </c>
      <c r="K14"/>
      <c r="L14"/>
      <c r="M14"/>
      <c r="N14"/>
      <c r="O14"/>
      <c r="P14"/>
      <c r="Q14"/>
      <c r="S14" s="44"/>
      <c r="T14" s="44"/>
      <c r="U14"/>
      <c r="V14"/>
      <c r="W14"/>
      <c r="X14"/>
      <c r="Y14"/>
      <c r="Z14"/>
      <c r="AA14"/>
      <c r="AC14" s="4"/>
      <c r="AD14" s="4"/>
      <c r="AE14" s="4"/>
      <c r="AF14" s="4"/>
      <c r="AG14" s="4"/>
      <c r="AH14" s="4"/>
      <c r="AI14" s="4"/>
      <c r="AJ14" s="4"/>
      <c r="AK14" s="4"/>
      <c r="AM14" s="4"/>
      <c r="AN14" s="4"/>
      <c r="AO14" s="4"/>
      <c r="AP14" s="4"/>
      <c r="AQ14" s="4"/>
      <c r="AR14" s="4"/>
      <c r="AS14" s="4"/>
      <c r="AT14" s="4"/>
      <c r="AU14" s="4"/>
      <c r="AW14" s="4"/>
      <c r="AX14" s="4"/>
      <c r="AY14" s="4"/>
      <c r="AZ14" s="4"/>
      <c r="BA14" s="4"/>
      <c r="BB14" s="4"/>
      <c r="BC14" s="4"/>
      <c r="BD14" s="4"/>
      <c r="BE14" s="4"/>
      <c r="BG14" s="4"/>
      <c r="BH14" s="4"/>
      <c r="BI14" s="4"/>
      <c r="BJ14" s="4"/>
      <c r="BK14" s="4"/>
      <c r="BL14" s="4"/>
      <c r="BM14" s="4"/>
      <c r="BN14" s="4"/>
      <c r="BO14" s="4"/>
    </row>
    <row r="15" spans="1:67" ht="16" customHeight="1">
      <c r="I15"/>
      <c r="J15"/>
      <c r="K15"/>
      <c r="L15"/>
      <c r="M15"/>
      <c r="N15"/>
      <c r="O15"/>
      <c r="P15"/>
      <c r="Q15"/>
      <c r="S15"/>
      <c r="T15"/>
      <c r="U15"/>
      <c r="V15"/>
      <c r="W15"/>
      <c r="X15"/>
      <c r="Y15"/>
      <c r="Z15"/>
      <c r="AA15"/>
      <c r="AC15" s="4"/>
      <c r="AD15" s="4"/>
      <c r="AE15" s="4"/>
      <c r="AF15" s="4"/>
      <c r="AG15" s="4"/>
      <c r="AH15" s="4"/>
      <c r="AI15" s="4"/>
      <c r="AJ15" s="4"/>
      <c r="AK15" s="4"/>
      <c r="AM15" s="4"/>
      <c r="AN15" s="4"/>
      <c r="AO15" s="4"/>
      <c r="AP15" s="4"/>
      <c r="AQ15" s="4"/>
      <c r="AR15" s="4"/>
      <c r="AS15" s="4"/>
      <c r="AT15" s="4"/>
      <c r="AU15" s="4"/>
      <c r="AW15" s="4"/>
      <c r="AX15" s="4"/>
      <c r="AY15" s="4"/>
      <c r="AZ15" s="4"/>
      <c r="BA15" s="4"/>
      <c r="BB15" s="4"/>
      <c r="BC15" s="4"/>
      <c r="BD15" s="4"/>
      <c r="BE15" s="4"/>
      <c r="BG15" s="4"/>
      <c r="BH15" s="4"/>
      <c r="BI15" s="4"/>
      <c r="BJ15" s="4"/>
      <c r="BK15" s="4"/>
      <c r="BL15" s="4"/>
      <c r="BM15" s="4"/>
      <c r="BN15" s="4"/>
      <c r="BO15" s="4"/>
    </row>
    <row r="16" spans="1:67" ht="16" customHeight="1" thickBot="1">
      <c r="I16" t="s">
        <v>65</v>
      </c>
      <c r="J16"/>
      <c r="K16"/>
      <c r="L16"/>
      <c r="M16"/>
      <c r="N16"/>
      <c r="O16"/>
      <c r="P16"/>
      <c r="Q16"/>
      <c r="S16"/>
      <c r="T16"/>
      <c r="U16"/>
      <c r="V16"/>
      <c r="W16"/>
      <c r="X16"/>
      <c r="Y16"/>
      <c r="Z16"/>
      <c r="AA16"/>
      <c r="AC16" s="4"/>
      <c r="AD16" s="4"/>
      <c r="AE16" s="4"/>
      <c r="AF16" s="4"/>
      <c r="AG16" s="4"/>
      <c r="AH16" s="4"/>
      <c r="AI16" s="4"/>
      <c r="AJ16" s="4"/>
      <c r="AK16" s="4"/>
      <c r="AM16" s="4"/>
      <c r="AN16" s="4"/>
      <c r="AO16" s="4"/>
      <c r="AP16" s="4"/>
      <c r="AQ16" s="4"/>
      <c r="AR16" s="4"/>
      <c r="AS16" s="4"/>
      <c r="AT16" s="4"/>
      <c r="AU16" s="4"/>
      <c r="AW16" s="4"/>
      <c r="AX16" s="4"/>
      <c r="AY16" s="4"/>
      <c r="AZ16" s="4"/>
      <c r="BA16" s="4"/>
      <c r="BB16" s="4"/>
      <c r="BC16" s="4"/>
      <c r="BD16" s="4"/>
      <c r="BE16" s="4"/>
      <c r="BG16" s="4"/>
      <c r="BH16" s="4"/>
      <c r="BI16" s="4"/>
      <c r="BJ16" s="4"/>
      <c r="BK16" s="4"/>
      <c r="BL16" s="4"/>
      <c r="BM16" s="4"/>
      <c r="BN16" s="4"/>
      <c r="BO16" s="4"/>
    </row>
    <row r="17" spans="9:67" ht="16" customHeight="1">
      <c r="I17" s="45"/>
      <c r="J17" s="45" t="s">
        <v>69</v>
      </c>
      <c r="K17" s="45" t="s">
        <v>70</v>
      </c>
      <c r="L17" s="45" t="s">
        <v>71</v>
      </c>
      <c r="M17" s="45" t="s">
        <v>72</v>
      </c>
      <c r="N17" s="45" t="s">
        <v>73</v>
      </c>
      <c r="O17"/>
      <c r="P17"/>
      <c r="Q17"/>
      <c r="S17" s="45"/>
      <c r="T17" s="45"/>
      <c r="U17" s="45"/>
      <c r="V17" s="45"/>
      <c r="W17" s="45"/>
      <c r="X17" s="45"/>
      <c r="Y17"/>
      <c r="Z17"/>
      <c r="AA17"/>
      <c r="AC17" s="4"/>
      <c r="AD17" s="4"/>
      <c r="AE17" s="4"/>
      <c r="AF17" s="4"/>
      <c r="AG17" s="4"/>
      <c r="AH17" s="4"/>
      <c r="AI17" s="4"/>
      <c r="AJ17" s="4"/>
      <c r="AK17" s="4"/>
      <c r="AM17" s="4"/>
      <c r="AN17" s="4"/>
      <c r="AO17" s="4"/>
      <c r="AP17" s="4"/>
      <c r="AQ17" s="4"/>
      <c r="AR17" s="4"/>
      <c r="AS17" s="4"/>
      <c r="AT17" s="4"/>
      <c r="AU17" s="4"/>
      <c r="AW17" s="4"/>
      <c r="AX17" s="4"/>
      <c r="AY17" s="4"/>
      <c r="AZ17" s="4"/>
      <c r="BA17" s="4"/>
      <c r="BB17" s="4"/>
      <c r="BC17" s="4"/>
      <c r="BD17" s="4"/>
      <c r="BE17" s="4"/>
      <c r="BG17" s="4"/>
      <c r="BH17" s="4"/>
      <c r="BI17" s="4"/>
      <c r="BJ17" s="4"/>
      <c r="BK17" s="4"/>
      <c r="BL17" s="4"/>
      <c r="BM17" s="4"/>
      <c r="BN17" s="4"/>
      <c r="BO17" s="4"/>
    </row>
    <row r="18" spans="9:67" ht="16" customHeight="1">
      <c r="I18" t="s">
        <v>66</v>
      </c>
      <c r="J18">
        <v>1</v>
      </c>
      <c r="K18">
        <v>14954.5304430537</v>
      </c>
      <c r="L18">
        <v>14954.5304430537</v>
      </c>
      <c r="M18">
        <v>326049.72599517548</v>
      </c>
      <c r="N18">
        <v>3.1266552049046259E-13</v>
      </c>
      <c r="O18"/>
      <c r="P18"/>
      <c r="Q18"/>
      <c r="S18"/>
      <c r="T18"/>
      <c r="U18"/>
      <c r="V18"/>
      <c r="W18"/>
      <c r="X18"/>
      <c r="Y18"/>
      <c r="Z18"/>
      <c r="AA18"/>
      <c r="AC18" s="30"/>
      <c r="AD18" s="30"/>
      <c r="AE18" s="30"/>
      <c r="AF18" s="30"/>
      <c r="AG18" s="30"/>
      <c r="AH18" s="30"/>
      <c r="AI18" s="4"/>
      <c r="AJ18" s="4"/>
      <c r="AK18" s="4"/>
      <c r="AM18" s="30"/>
      <c r="AN18" s="30"/>
      <c r="AO18" s="30"/>
      <c r="AP18" s="30"/>
      <c r="AQ18" s="30"/>
      <c r="AR18" s="30"/>
      <c r="AS18" s="4"/>
      <c r="AT18" s="4"/>
      <c r="AU18" s="4"/>
      <c r="AW18" s="30"/>
      <c r="AX18" s="30"/>
      <c r="AY18" s="30"/>
      <c r="AZ18" s="30"/>
      <c r="BA18" s="30"/>
      <c r="BB18" s="30"/>
      <c r="BC18" s="4"/>
      <c r="BD18" s="4"/>
      <c r="BE18" s="4"/>
      <c r="BG18" s="30"/>
      <c r="BH18" s="30"/>
      <c r="BI18" s="30"/>
      <c r="BJ18" s="30"/>
      <c r="BK18" s="30"/>
      <c r="BL18" s="30"/>
      <c r="BM18" s="4"/>
      <c r="BN18" s="4"/>
      <c r="BO18" s="4"/>
    </row>
    <row r="19" spans="9:67" ht="16" customHeight="1">
      <c r="I19" t="s">
        <v>67</v>
      </c>
      <c r="J19">
        <v>5</v>
      </c>
      <c r="K19">
        <v>0.22932898344584068</v>
      </c>
      <c r="L19">
        <v>4.586579668916814E-2</v>
      </c>
      <c r="M19"/>
      <c r="N19"/>
      <c r="O19"/>
      <c r="P19"/>
      <c r="Q19"/>
      <c r="S19"/>
      <c r="T19"/>
      <c r="U19"/>
      <c r="V19"/>
      <c r="W19"/>
      <c r="X19"/>
      <c r="Y19"/>
      <c r="Z19"/>
      <c r="AA19"/>
      <c r="AC19" s="4"/>
      <c r="AD19" s="4"/>
      <c r="AE19" s="4"/>
      <c r="AF19" s="4"/>
      <c r="AG19" s="4"/>
      <c r="AH19" s="4"/>
      <c r="AI19" s="4"/>
      <c r="AJ19" s="4"/>
      <c r="AK19" s="4"/>
      <c r="AM19" s="4"/>
      <c r="AN19" s="4"/>
      <c r="AO19" s="4"/>
      <c r="AP19" s="4"/>
      <c r="AQ19" s="4"/>
      <c r="AR19" s="4"/>
      <c r="AS19" s="4"/>
      <c r="AT19" s="4"/>
      <c r="AU19" s="4"/>
      <c r="AW19" s="4"/>
      <c r="AX19" s="4"/>
      <c r="AY19" s="4"/>
      <c r="AZ19" s="4"/>
      <c r="BA19" s="4"/>
      <c r="BB19" s="4"/>
      <c r="BC19" s="4"/>
      <c r="BD19" s="4"/>
      <c r="BE19" s="4"/>
      <c r="BG19" s="4"/>
      <c r="BH19" s="4"/>
      <c r="BI19" s="4"/>
      <c r="BJ19" s="4"/>
      <c r="BK19" s="4"/>
      <c r="BL19" s="4"/>
      <c r="BM19" s="4"/>
      <c r="BN19" s="4"/>
      <c r="BO19" s="4"/>
    </row>
    <row r="20" spans="9:67" ht="16" customHeight="1" thickBot="1">
      <c r="I20" s="44" t="s">
        <v>68</v>
      </c>
      <c r="J20" s="44">
        <v>6</v>
      </c>
      <c r="K20" s="44">
        <v>14954.759772037145</v>
      </c>
      <c r="L20" s="44"/>
      <c r="M20" s="44"/>
      <c r="N20" s="44"/>
      <c r="O20"/>
      <c r="P20"/>
      <c r="Q20"/>
      <c r="S20" s="44"/>
      <c r="T20" s="44"/>
      <c r="U20" s="44"/>
      <c r="V20" s="44"/>
      <c r="W20" s="44"/>
      <c r="X20" s="44"/>
      <c r="Y20"/>
      <c r="Z20"/>
      <c r="AA20"/>
      <c r="AC20" s="4"/>
      <c r="AD20" s="4"/>
      <c r="AE20" s="4"/>
      <c r="AF20" s="4"/>
      <c r="AG20" s="4"/>
      <c r="AH20" s="4"/>
      <c r="AI20" s="4"/>
      <c r="AJ20" s="4"/>
      <c r="AK20" s="4"/>
      <c r="AM20" s="4"/>
      <c r="AN20" s="4"/>
      <c r="AO20" s="4"/>
      <c r="AP20" s="4"/>
      <c r="AQ20" s="4"/>
      <c r="AR20" s="4"/>
      <c r="AS20" s="4"/>
      <c r="AT20" s="4"/>
      <c r="AU20" s="4"/>
      <c r="AW20" s="4"/>
      <c r="AX20" s="4"/>
      <c r="AY20" s="4"/>
      <c r="AZ20" s="4"/>
      <c r="BA20" s="4"/>
      <c r="BB20" s="4"/>
      <c r="BC20" s="4"/>
      <c r="BD20" s="4"/>
      <c r="BE20" s="4"/>
      <c r="BG20" s="4"/>
      <c r="BH20" s="4"/>
      <c r="BI20" s="4"/>
      <c r="BJ20" s="4"/>
      <c r="BK20" s="4"/>
      <c r="BL20" s="4"/>
      <c r="BM20" s="4"/>
      <c r="BN20" s="4"/>
      <c r="BO20" s="4"/>
    </row>
    <row r="21" spans="9:67" ht="16" customHeight="1" thickBot="1">
      <c r="I21"/>
      <c r="J21"/>
      <c r="K21"/>
      <c r="L21"/>
      <c r="M21"/>
      <c r="N21"/>
      <c r="O21"/>
      <c r="P21"/>
      <c r="Q21"/>
      <c r="S21"/>
      <c r="T21"/>
      <c r="U21"/>
      <c r="V21"/>
      <c r="W21"/>
      <c r="X21"/>
      <c r="Y21"/>
      <c r="Z21"/>
      <c r="AA21"/>
      <c r="AC21" s="4"/>
      <c r="AD21" s="4"/>
      <c r="AE21" s="4"/>
      <c r="AF21" s="4"/>
      <c r="AG21" s="4"/>
      <c r="AH21" s="4"/>
      <c r="AI21" s="4"/>
      <c r="AJ21" s="4"/>
      <c r="AK21" s="4"/>
      <c r="AM21" s="4"/>
      <c r="AN21" s="4"/>
      <c r="AO21" s="4"/>
      <c r="AP21" s="4"/>
      <c r="AQ21" s="4"/>
      <c r="AR21" s="4"/>
      <c r="AS21" s="4"/>
      <c r="AT21" s="4"/>
      <c r="AU21" s="4"/>
      <c r="AW21" s="4"/>
      <c r="AX21" s="4"/>
      <c r="AY21" s="4"/>
      <c r="AZ21" s="4"/>
      <c r="BA21" s="4"/>
      <c r="BB21" s="4"/>
      <c r="BC21" s="4"/>
      <c r="BD21" s="4"/>
      <c r="BE21" s="4"/>
      <c r="BG21" s="4"/>
      <c r="BH21" s="4"/>
      <c r="BI21" s="4"/>
      <c r="BJ21" s="4"/>
      <c r="BK21" s="4"/>
      <c r="BL21" s="4"/>
      <c r="BM21" s="4"/>
      <c r="BN21" s="4"/>
      <c r="BO21" s="4"/>
    </row>
    <row r="22" spans="9:67" ht="16" customHeight="1">
      <c r="I22" s="45"/>
      <c r="J22" s="45" t="s">
        <v>74</v>
      </c>
      <c r="K22" s="45" t="s">
        <v>6</v>
      </c>
      <c r="L22" s="45" t="s">
        <v>75</v>
      </c>
      <c r="M22" s="45" t="s">
        <v>76</v>
      </c>
      <c r="N22" s="45" t="s">
        <v>77</v>
      </c>
      <c r="O22" s="45" t="s">
        <v>78</v>
      </c>
      <c r="P22" s="45" t="s">
        <v>79</v>
      </c>
      <c r="Q22" s="45" t="s">
        <v>80</v>
      </c>
      <c r="S22" s="45"/>
      <c r="T22" s="45"/>
      <c r="U22" s="45"/>
      <c r="V22" s="45"/>
      <c r="W22" s="45"/>
      <c r="X22" s="45"/>
      <c r="Y22" s="45"/>
      <c r="Z22" s="45"/>
      <c r="AA22" s="45"/>
      <c r="AC22" s="4"/>
      <c r="AD22" s="4"/>
      <c r="AE22" s="4"/>
      <c r="AF22" s="4"/>
      <c r="AG22" s="4"/>
      <c r="AH22" s="4"/>
      <c r="AI22" s="4"/>
      <c r="AJ22" s="4"/>
      <c r="AK22" s="4"/>
      <c r="AM22" s="4"/>
      <c r="AN22" s="4"/>
      <c r="AO22" s="4"/>
      <c r="AP22" s="4"/>
      <c r="AQ22" s="4"/>
      <c r="AR22" s="4"/>
      <c r="AS22" s="4"/>
      <c r="AT22" s="4"/>
      <c r="AU22" s="4"/>
      <c r="AW22" s="4"/>
      <c r="AX22" s="4"/>
      <c r="AY22" s="4"/>
      <c r="AZ22" s="4"/>
      <c r="BA22" s="4"/>
      <c r="BB22" s="4"/>
      <c r="BC22" s="4"/>
      <c r="BD22" s="4"/>
      <c r="BE22" s="4"/>
      <c r="BG22" s="4"/>
      <c r="BH22" s="4"/>
      <c r="BI22" s="4"/>
      <c r="BJ22" s="4"/>
      <c r="BK22" s="4"/>
      <c r="BL22" s="4"/>
      <c r="BM22" s="4"/>
      <c r="BN22" s="4"/>
      <c r="BO22" s="4"/>
    </row>
    <row r="23" spans="9:67" ht="16" customHeight="1">
      <c r="I23" t="s">
        <v>7</v>
      </c>
      <c r="J23">
        <v>0.30120039246469332</v>
      </c>
      <c r="K23">
        <v>0.10444341680088751</v>
      </c>
      <c r="L23">
        <v>2.8838619195971562</v>
      </c>
      <c r="M23">
        <v>3.4432499534409383E-2</v>
      </c>
      <c r="N23">
        <v>3.2720042384539183E-2</v>
      </c>
      <c r="O23">
        <v>0.56968074254484746</v>
      </c>
      <c r="P23">
        <v>3.2720042384539183E-2</v>
      </c>
      <c r="Q23">
        <v>0.56968074254484746</v>
      </c>
      <c r="S23"/>
      <c r="T23"/>
      <c r="U23"/>
      <c r="V23"/>
      <c r="W23"/>
      <c r="X23"/>
      <c r="Y23"/>
      <c r="Z23"/>
      <c r="AA23"/>
      <c r="AC23" s="30"/>
      <c r="AD23" s="30"/>
      <c r="AE23" s="30"/>
      <c r="AF23" s="30"/>
      <c r="AG23" s="30"/>
      <c r="AH23" s="30"/>
      <c r="AI23" s="30"/>
      <c r="AJ23" s="30"/>
      <c r="AK23" s="30"/>
      <c r="AM23" s="30"/>
      <c r="AN23" s="30"/>
      <c r="AO23" s="30"/>
      <c r="AP23" s="30"/>
      <c r="AQ23" s="30"/>
      <c r="AR23" s="30"/>
      <c r="AS23" s="30"/>
      <c r="AT23" s="30"/>
      <c r="AU23" s="30"/>
      <c r="AW23" s="30"/>
      <c r="AX23" s="30"/>
      <c r="AY23" s="30"/>
      <c r="AZ23" s="30"/>
      <c r="BA23" s="30"/>
      <c r="BB23" s="30"/>
      <c r="BC23" s="30"/>
      <c r="BD23" s="30"/>
      <c r="BE23" s="30"/>
      <c r="BG23" s="30"/>
      <c r="BH23" s="30"/>
      <c r="BI23" s="30"/>
      <c r="BJ23" s="30"/>
      <c r="BK23" s="30"/>
      <c r="BL23" s="30"/>
      <c r="BM23" s="30"/>
      <c r="BN23" s="30"/>
      <c r="BO23" s="30"/>
    </row>
    <row r="24" spans="9:67" ht="16" customHeight="1" thickBot="1">
      <c r="I24" s="44" t="s">
        <v>42</v>
      </c>
      <c r="J24" s="44">
        <v>6.8522259026687564</v>
      </c>
      <c r="K24" s="44">
        <v>1.200023504337683E-2</v>
      </c>
      <c r="L24" s="44">
        <v>571.00764092538645</v>
      </c>
      <c r="M24" s="44">
        <v>3.1266552049046259E-13</v>
      </c>
      <c r="N24" s="44">
        <v>6.8213783164428854</v>
      </c>
      <c r="O24" s="44">
        <v>6.8830734888946274</v>
      </c>
      <c r="P24" s="44">
        <v>6.8213783164428854</v>
      </c>
      <c r="Q24" s="44">
        <v>6.8830734888946274</v>
      </c>
      <c r="S24" s="44"/>
      <c r="T24" s="44"/>
      <c r="U24" s="44"/>
      <c r="V24" s="44"/>
      <c r="W24" s="44"/>
      <c r="X24" s="44"/>
      <c r="Y24" s="44"/>
      <c r="Z24" s="44"/>
      <c r="AA24" s="44"/>
      <c r="AC24" s="4"/>
      <c r="AD24" s="4"/>
      <c r="AE24" s="4"/>
      <c r="AF24" s="4"/>
      <c r="AG24" s="4"/>
      <c r="AH24" s="4"/>
      <c r="AI24" s="4"/>
      <c r="AJ24" s="4"/>
      <c r="AK24" s="4"/>
      <c r="AM24" s="4"/>
      <c r="AN24" s="4"/>
      <c r="AO24" s="4"/>
      <c r="AP24" s="4"/>
      <c r="AQ24" s="4"/>
      <c r="AR24" s="4"/>
      <c r="AS24" s="4"/>
      <c r="AT24" s="4"/>
      <c r="AU24" s="4"/>
      <c r="AW24" s="4"/>
      <c r="AX24" s="4"/>
      <c r="AY24" s="4"/>
      <c r="AZ24" s="4"/>
      <c r="BA24" s="4"/>
      <c r="BB24" s="4"/>
      <c r="BC24" s="4"/>
      <c r="BD24" s="4"/>
      <c r="BE24" s="4"/>
      <c r="BG24" s="4"/>
      <c r="BH24" s="4"/>
      <c r="BI24" s="4"/>
      <c r="BJ24" s="4"/>
      <c r="BK24" s="4"/>
      <c r="BL24" s="4"/>
      <c r="BM24" s="4"/>
      <c r="BN24" s="4"/>
      <c r="BO24" s="4"/>
    </row>
    <row r="25" spans="9:67" ht="16" customHeight="1">
      <c r="I25"/>
      <c r="J25"/>
      <c r="K25"/>
      <c r="L25"/>
      <c r="M25"/>
      <c r="N25"/>
      <c r="O25"/>
      <c r="P25"/>
      <c r="Q25"/>
      <c r="S25"/>
      <c r="T25"/>
      <c r="U25"/>
      <c r="V25"/>
      <c r="W25"/>
      <c r="X25"/>
      <c r="Y25"/>
      <c r="Z25"/>
      <c r="AA25"/>
      <c r="AC25" s="4"/>
      <c r="AD25" s="4"/>
      <c r="AE25" s="4"/>
      <c r="AF25" s="4"/>
      <c r="AG25" s="4"/>
      <c r="AH25" s="4"/>
      <c r="AI25" s="4"/>
      <c r="AJ25" s="4"/>
      <c r="AK25" s="4"/>
      <c r="AM25" s="4"/>
      <c r="AN25" s="4"/>
      <c r="AO25" s="4"/>
      <c r="AP25" s="4"/>
      <c r="AQ25" s="4"/>
      <c r="AR25" s="4"/>
      <c r="AS25" s="4"/>
      <c r="AT25" s="4"/>
      <c r="AU25" s="4"/>
      <c r="AW25" s="4"/>
      <c r="AX25" s="4"/>
      <c r="AY25" s="4"/>
      <c r="AZ25" s="4"/>
      <c r="BA25" s="4"/>
      <c r="BB25" s="4"/>
      <c r="BC25" s="4"/>
      <c r="BD25" s="4"/>
      <c r="BE25" s="4"/>
      <c r="BG25" s="4"/>
      <c r="BH25" s="4"/>
      <c r="BI25" s="4"/>
      <c r="BJ25" s="4"/>
      <c r="BK25" s="4"/>
      <c r="BL25" s="4"/>
      <c r="BM25" s="4"/>
      <c r="BN25" s="4"/>
      <c r="BO25" s="4"/>
    </row>
    <row r="26" spans="9:67" ht="16" customHeight="1">
      <c r="I26"/>
      <c r="J26"/>
      <c r="K26"/>
      <c r="L26"/>
      <c r="M26"/>
      <c r="N26"/>
      <c r="O26"/>
      <c r="P26"/>
      <c r="Q26"/>
      <c r="S26"/>
      <c r="T26"/>
      <c r="U26"/>
      <c r="V26"/>
      <c r="W26"/>
      <c r="X26"/>
      <c r="Y26"/>
      <c r="Z26"/>
      <c r="AA26"/>
      <c r="AC26" s="4"/>
      <c r="AD26" s="4"/>
      <c r="AE26" s="4"/>
      <c r="AF26" s="4"/>
      <c r="AG26" s="4"/>
      <c r="AH26" s="4"/>
      <c r="AI26" s="4"/>
      <c r="AJ26" s="4"/>
      <c r="AK26" s="4"/>
      <c r="AM26" s="4"/>
      <c r="AN26" s="4"/>
      <c r="AO26" s="4"/>
      <c r="AP26" s="4"/>
      <c r="AQ26" s="4"/>
      <c r="AR26" s="4"/>
      <c r="AS26" s="4"/>
      <c r="AT26" s="4"/>
      <c r="AU26" s="4"/>
      <c r="AW26" s="4"/>
      <c r="AX26" s="4"/>
      <c r="AY26" s="4"/>
      <c r="AZ26" s="4"/>
      <c r="BA26" s="4"/>
      <c r="BB26" s="4"/>
      <c r="BC26" s="4"/>
      <c r="BD26" s="4"/>
      <c r="BE26" s="4"/>
      <c r="BG26" s="4"/>
      <c r="BH26" s="4"/>
      <c r="BI26" s="4"/>
      <c r="BJ26" s="4"/>
      <c r="BK26" s="4"/>
      <c r="BL26" s="4"/>
      <c r="BM26" s="4"/>
      <c r="BN26" s="4"/>
      <c r="BO26" s="4"/>
    </row>
    <row r="27" spans="9:67" ht="16" customHeight="1">
      <c r="I27"/>
      <c r="J27"/>
      <c r="K27"/>
      <c r="L27"/>
      <c r="M27"/>
      <c r="N27"/>
      <c r="O27"/>
      <c r="P27"/>
      <c r="Q27"/>
      <c r="S27"/>
      <c r="T27"/>
      <c r="U27"/>
      <c r="V27"/>
      <c r="W27"/>
      <c r="X27"/>
      <c r="Y27"/>
      <c r="Z27"/>
      <c r="AA27"/>
      <c r="AC27" s="4"/>
      <c r="AD27" s="4"/>
      <c r="AE27" s="4"/>
      <c r="AF27" s="4"/>
      <c r="AG27" s="4"/>
      <c r="AH27" s="4"/>
      <c r="AI27" s="4"/>
      <c r="AJ27" s="4"/>
      <c r="AK27" s="4"/>
      <c r="AM27" s="4"/>
      <c r="AN27" s="4"/>
      <c r="AO27" s="4"/>
      <c r="AP27" s="4"/>
      <c r="AQ27" s="4"/>
      <c r="AR27" s="4"/>
      <c r="AS27" s="4"/>
      <c r="AT27" s="4"/>
      <c r="AU27" s="4"/>
      <c r="AW27" s="4"/>
      <c r="AX27" s="4"/>
      <c r="AY27" s="4"/>
      <c r="AZ27" s="4"/>
      <c r="BA27" s="4"/>
      <c r="BB27" s="4"/>
      <c r="BC27" s="4"/>
      <c r="BD27" s="4"/>
      <c r="BE27" s="4"/>
      <c r="BG27" s="4"/>
      <c r="BH27" s="4"/>
      <c r="BI27" s="4"/>
      <c r="BJ27" s="4"/>
      <c r="BK27" s="4"/>
      <c r="BL27" s="4"/>
      <c r="BM27" s="4"/>
      <c r="BN27" s="4"/>
      <c r="BO27" s="4"/>
    </row>
    <row r="28" spans="9:67" ht="16" customHeight="1">
      <c r="I28" t="s">
        <v>81</v>
      </c>
      <c r="J28"/>
      <c r="K28"/>
      <c r="L28"/>
      <c r="M28"/>
      <c r="N28"/>
      <c r="O28"/>
      <c r="P28"/>
      <c r="Q28"/>
      <c r="S28"/>
      <c r="T28"/>
      <c r="U28"/>
      <c r="V28"/>
      <c r="W28"/>
      <c r="X28"/>
      <c r="Y28"/>
      <c r="Z28"/>
      <c r="AA28"/>
      <c r="AC28" s="4"/>
      <c r="AD28" s="4"/>
      <c r="AE28" s="4"/>
      <c r="AF28" s="4"/>
      <c r="AG28" s="4"/>
      <c r="AH28" s="4"/>
      <c r="AI28" s="4"/>
      <c r="AJ28" s="4"/>
      <c r="AK28" s="4"/>
      <c r="AM28" s="4"/>
      <c r="AN28" s="4"/>
      <c r="AO28" s="4"/>
      <c r="AP28" s="4"/>
      <c r="AQ28" s="4"/>
      <c r="AR28" s="4"/>
      <c r="AS28" s="4"/>
      <c r="AT28" s="4"/>
      <c r="AU28" s="4"/>
      <c r="AW28" s="4"/>
      <c r="AX28" s="4"/>
      <c r="AY28" s="4"/>
      <c r="AZ28" s="4"/>
      <c r="BA28" s="4"/>
      <c r="BB28" s="4"/>
      <c r="BC28" s="4"/>
      <c r="BD28" s="4"/>
      <c r="BE28" s="4"/>
      <c r="BG28" s="4"/>
      <c r="BH28" s="4"/>
      <c r="BI28" s="4"/>
      <c r="BJ28" s="4"/>
      <c r="BK28" s="4"/>
      <c r="BL28" s="4"/>
      <c r="BM28" s="4"/>
      <c r="BN28" s="4"/>
      <c r="BO28" s="4"/>
    </row>
    <row r="29" spans="9:67" ht="16" customHeight="1" thickBot="1">
      <c r="I29"/>
      <c r="J29"/>
      <c r="K29"/>
      <c r="L29"/>
      <c r="M29"/>
      <c r="N29"/>
      <c r="O29"/>
      <c r="P29"/>
      <c r="Q29"/>
      <c r="S29"/>
      <c r="T29"/>
      <c r="U29"/>
      <c r="V29"/>
      <c r="W29"/>
      <c r="X29"/>
      <c r="Y29"/>
      <c r="Z29"/>
      <c r="AA29"/>
      <c r="AC29" s="4"/>
      <c r="AD29" s="4"/>
      <c r="AE29" s="4"/>
      <c r="AF29" s="4"/>
      <c r="AG29" s="4"/>
      <c r="AH29" s="4"/>
      <c r="AI29" s="4"/>
      <c r="AJ29" s="4"/>
      <c r="AK29" s="4"/>
      <c r="AM29" s="4"/>
      <c r="AN29" s="4"/>
      <c r="AO29" s="4"/>
      <c r="AP29" s="4"/>
      <c r="AQ29" s="4"/>
      <c r="AR29" s="4"/>
      <c r="AS29" s="4"/>
      <c r="AT29" s="4"/>
      <c r="AU29" s="4"/>
      <c r="AW29" s="4"/>
      <c r="AX29" s="4"/>
      <c r="AY29" s="4"/>
      <c r="AZ29" s="4"/>
      <c r="BA29" s="4"/>
      <c r="BB29" s="4"/>
      <c r="BC29" s="4"/>
      <c r="BD29" s="4"/>
      <c r="BE29" s="4"/>
      <c r="BG29" s="4"/>
      <c r="BH29" s="4"/>
      <c r="BI29" s="4"/>
      <c r="BJ29" s="4"/>
      <c r="BK29" s="4"/>
      <c r="BL29" s="4"/>
      <c r="BM29" s="4"/>
      <c r="BN29" s="4"/>
      <c r="BO29" s="4"/>
    </row>
    <row r="30" spans="9:67" ht="16" customHeight="1">
      <c r="I30" s="45" t="s">
        <v>82</v>
      </c>
      <c r="J30" s="45" t="s">
        <v>29</v>
      </c>
      <c r="K30" s="45" t="s">
        <v>27</v>
      </c>
      <c r="L30" s="45" t="s">
        <v>28</v>
      </c>
      <c r="M30"/>
      <c r="N30"/>
      <c r="O30"/>
      <c r="P30"/>
      <c r="Q30"/>
      <c r="S30" s="45"/>
      <c r="T30" s="45"/>
      <c r="U30" s="45"/>
      <c r="V30" s="45"/>
      <c r="W30"/>
      <c r="X30"/>
      <c r="Y30"/>
      <c r="Z30"/>
      <c r="AA30"/>
      <c r="AC30" s="4"/>
      <c r="AD30" s="4"/>
      <c r="AE30" s="4"/>
      <c r="AF30" s="4"/>
      <c r="AG30" s="4"/>
      <c r="AH30" s="4"/>
      <c r="AI30" s="4"/>
      <c r="AJ30" s="4"/>
      <c r="AK30" s="4"/>
      <c r="AM30" s="4"/>
      <c r="AN30" s="4"/>
      <c r="AO30" s="4"/>
      <c r="AP30" s="4"/>
      <c r="AQ30" s="4"/>
      <c r="AR30" s="4"/>
      <c r="AS30" s="4"/>
      <c r="AT30" s="4"/>
      <c r="AU30" s="4"/>
      <c r="AW30" s="4"/>
      <c r="AX30" s="4"/>
      <c r="AY30" s="4"/>
      <c r="AZ30" s="4"/>
      <c r="BA30" s="4"/>
      <c r="BB30" s="4"/>
      <c r="BC30" s="4"/>
      <c r="BD30" s="4"/>
      <c r="BE30" s="4"/>
      <c r="BG30" s="4"/>
      <c r="BH30" s="4"/>
      <c r="BI30" s="4"/>
      <c r="BJ30" s="4"/>
      <c r="BK30" s="4"/>
      <c r="BL30" s="4"/>
      <c r="BM30" s="4"/>
      <c r="BN30" s="4"/>
      <c r="BO30" s="4"/>
    </row>
    <row r="31" spans="9:67" ht="16" customHeight="1">
      <c r="I31">
        <v>1</v>
      </c>
      <c r="J31">
        <v>0.30120039246469332</v>
      </c>
      <c r="K31">
        <v>2.8899607535306682E-2</v>
      </c>
      <c r="L31">
        <v>0.14782166755278364</v>
      </c>
      <c r="M31"/>
      <c r="N31"/>
      <c r="O31"/>
      <c r="P31"/>
      <c r="Q31"/>
      <c r="S31"/>
      <c r="T31"/>
      <c r="U31"/>
      <c r="V31"/>
      <c r="W31"/>
      <c r="X31"/>
      <c r="Y31"/>
      <c r="Z31"/>
      <c r="AA31"/>
      <c r="AC31" s="30"/>
      <c r="AD31" s="30"/>
      <c r="AE31" s="30"/>
      <c r="AF31" s="30"/>
      <c r="AG31" s="4"/>
      <c r="AH31" s="4"/>
      <c r="AI31" s="4"/>
      <c r="AJ31" s="4"/>
      <c r="AK31" s="4"/>
      <c r="AM31" s="30"/>
      <c r="AN31" s="30"/>
      <c r="AO31" s="30"/>
      <c r="AP31" s="30"/>
      <c r="AQ31" s="4"/>
      <c r="AR31" s="4"/>
      <c r="AS31" s="4"/>
      <c r="AT31" s="4"/>
      <c r="AU31" s="4"/>
      <c r="AW31" s="30"/>
      <c r="AX31" s="30"/>
      <c r="AY31" s="30"/>
      <c r="AZ31" s="30"/>
      <c r="BA31" s="4"/>
      <c r="BB31" s="4"/>
      <c r="BC31" s="4"/>
      <c r="BD31" s="4"/>
      <c r="BE31" s="4"/>
      <c r="BG31" s="30"/>
      <c r="BH31" s="30"/>
      <c r="BI31" s="30"/>
      <c r="BJ31" s="30"/>
      <c r="BK31" s="4"/>
      <c r="BL31" s="4"/>
      <c r="BM31" s="4"/>
      <c r="BN31" s="4"/>
      <c r="BO31" s="4"/>
    </row>
    <row r="32" spans="9:67" ht="16" customHeight="1">
      <c r="I32">
        <v>2</v>
      </c>
      <c r="J32">
        <v>137.34571844583982</v>
      </c>
      <c r="K32">
        <v>-4.5718445839810329E-2</v>
      </c>
      <c r="L32">
        <v>-0.23385012733151878</v>
      </c>
      <c r="M32"/>
      <c r="N32"/>
      <c r="O32"/>
      <c r="P32"/>
      <c r="Q32"/>
      <c r="S32"/>
      <c r="T32"/>
      <c r="U32"/>
      <c r="V32"/>
      <c r="W32"/>
      <c r="X32"/>
      <c r="Y32"/>
      <c r="Z32"/>
      <c r="AA32"/>
      <c r="AC32" s="4"/>
      <c r="AD32" s="4"/>
      <c r="AE32" s="4"/>
      <c r="AF32" s="4"/>
      <c r="AG32" s="4"/>
      <c r="AH32" s="4"/>
      <c r="AI32" s="4"/>
      <c r="AJ32" s="4"/>
      <c r="AK32" s="4"/>
      <c r="AM32" s="4"/>
      <c r="AN32" s="4"/>
      <c r="AO32" s="4"/>
      <c r="AP32" s="4"/>
      <c r="AQ32" s="4"/>
      <c r="AR32" s="4"/>
      <c r="AS32" s="4"/>
      <c r="AT32" s="4"/>
      <c r="AU32" s="4"/>
      <c r="AW32" s="4"/>
      <c r="AX32" s="4"/>
      <c r="AY32" s="4"/>
      <c r="AZ32" s="4"/>
      <c r="BA32" s="4"/>
      <c r="BB32" s="4"/>
      <c r="BC32" s="4"/>
      <c r="BD32" s="4"/>
      <c r="BE32" s="4"/>
      <c r="BG32" s="4"/>
      <c r="BH32" s="4"/>
      <c r="BI32" s="4"/>
      <c r="BJ32" s="4"/>
      <c r="BK32" s="4"/>
      <c r="BL32" s="4"/>
      <c r="BM32" s="4"/>
      <c r="BN32" s="4"/>
      <c r="BO32" s="4"/>
    </row>
    <row r="33" spans="9:67" ht="16" customHeight="1">
      <c r="I33">
        <v>3</v>
      </c>
      <c r="J33">
        <v>68.823459419152258</v>
      </c>
      <c r="K33">
        <v>0.23654058084774476</v>
      </c>
      <c r="L33">
        <v>1.209906503474135</v>
      </c>
      <c r="M33"/>
      <c r="N33"/>
      <c r="O33"/>
      <c r="P33"/>
      <c r="Q33"/>
      <c r="S33"/>
      <c r="T33"/>
      <c r="U33"/>
      <c r="V33"/>
      <c r="W33"/>
      <c r="X33"/>
      <c r="Y33"/>
      <c r="Z33"/>
      <c r="AA33"/>
      <c r="AC33" s="4"/>
      <c r="AD33" s="4"/>
      <c r="AE33" s="4"/>
      <c r="AF33" s="4"/>
      <c r="AG33" s="4"/>
      <c r="AH33" s="4"/>
      <c r="AI33" s="4"/>
      <c r="AJ33" s="4"/>
      <c r="AK33" s="4"/>
      <c r="AM33" s="4"/>
      <c r="AN33" s="4"/>
      <c r="AO33" s="4"/>
      <c r="AP33" s="4"/>
      <c r="AQ33" s="4"/>
      <c r="AR33" s="4"/>
      <c r="AS33" s="4"/>
      <c r="AT33" s="4"/>
      <c r="AU33" s="4"/>
      <c r="AW33" s="4"/>
      <c r="AX33" s="4"/>
      <c r="AY33" s="4"/>
      <c r="AZ33" s="4"/>
      <c r="BA33" s="4"/>
      <c r="BB33" s="4"/>
      <c r="BC33" s="4"/>
      <c r="BD33" s="4"/>
      <c r="BE33" s="4"/>
      <c r="BG33" s="4"/>
      <c r="BH33" s="4"/>
      <c r="BI33" s="4"/>
      <c r="BJ33" s="4"/>
      <c r="BK33" s="4"/>
      <c r="BL33" s="4"/>
      <c r="BM33" s="4"/>
      <c r="BN33" s="4"/>
      <c r="BO33" s="4"/>
    </row>
    <row r="34" spans="9:67" ht="16" customHeight="1">
      <c r="I34">
        <v>4</v>
      </c>
      <c r="J34">
        <v>34.562329905808475</v>
      </c>
      <c r="K34">
        <v>-0.36232990580847257</v>
      </c>
      <c r="L34">
        <v>-1.8533196624008432</v>
      </c>
      <c r="M34"/>
      <c r="N34"/>
      <c r="O34"/>
      <c r="P34"/>
      <c r="Q34"/>
      <c r="S34"/>
      <c r="T34"/>
      <c r="U34"/>
      <c r="V34"/>
      <c r="W34"/>
      <c r="X34"/>
      <c r="Y34"/>
      <c r="Z34"/>
      <c r="AA34"/>
      <c r="AC34" s="4"/>
      <c r="AD34" s="4"/>
      <c r="AE34" s="4"/>
      <c r="AF34" s="4"/>
      <c r="AG34" s="4"/>
      <c r="AH34" s="4"/>
      <c r="AI34" s="4"/>
      <c r="AJ34" s="4"/>
      <c r="AK34" s="4"/>
      <c r="AM34" s="4"/>
      <c r="AN34" s="4"/>
      <c r="AO34" s="4"/>
      <c r="AP34" s="4"/>
      <c r="AQ34" s="4"/>
      <c r="AR34" s="4"/>
      <c r="AS34" s="4"/>
      <c r="AT34" s="4"/>
      <c r="AU34" s="4"/>
      <c r="AW34" s="4"/>
      <c r="AX34" s="4"/>
      <c r="AY34" s="4"/>
      <c r="AZ34" s="4"/>
      <c r="BA34" s="4"/>
      <c r="BB34" s="4"/>
      <c r="BC34" s="4"/>
      <c r="BD34" s="4"/>
      <c r="BE34" s="4"/>
      <c r="BG34" s="4"/>
      <c r="BH34" s="4"/>
      <c r="BI34" s="4"/>
      <c r="BJ34" s="4"/>
      <c r="BK34" s="4"/>
      <c r="BL34" s="4"/>
      <c r="BM34" s="4"/>
      <c r="BN34" s="4"/>
      <c r="BO34" s="4"/>
    </row>
    <row r="35" spans="9:67" ht="16" customHeight="1">
      <c r="I35">
        <v>5</v>
      </c>
      <c r="J35">
        <v>14.005652197802206</v>
      </c>
      <c r="K35">
        <v>0.18434780219779334</v>
      </c>
      <c r="L35">
        <v>0.94294012461160381</v>
      </c>
      <c r="M35"/>
      <c r="N35"/>
      <c r="O35"/>
      <c r="P35"/>
      <c r="Q35"/>
      <c r="S35"/>
      <c r="T35"/>
      <c r="U35"/>
      <c r="V35"/>
      <c r="W35"/>
      <c r="X35"/>
      <c r="Y35"/>
      <c r="Z35"/>
      <c r="AA35"/>
      <c r="AC35" s="4"/>
      <c r="AD35" s="4"/>
      <c r="AE35" s="4"/>
      <c r="AF35" s="4"/>
      <c r="AG35" s="4"/>
      <c r="AH35" s="4"/>
      <c r="AI35" s="4"/>
      <c r="AJ35" s="4"/>
      <c r="AK35" s="4"/>
      <c r="AM35" s="4"/>
      <c r="AN35" s="4"/>
      <c r="AO35" s="4"/>
      <c r="AP35" s="4"/>
      <c r="AQ35" s="4"/>
      <c r="AR35" s="4"/>
      <c r="AS35" s="4"/>
      <c r="AT35" s="4"/>
      <c r="AU35" s="4"/>
      <c r="AW35" s="4"/>
      <c r="AX35" s="4"/>
      <c r="AY35" s="4"/>
      <c r="AZ35" s="4"/>
      <c r="BA35" s="4"/>
      <c r="BB35" s="4"/>
      <c r="BC35" s="4"/>
      <c r="BD35" s="4"/>
      <c r="BE35" s="4"/>
      <c r="BG35" s="4"/>
      <c r="BH35" s="4"/>
      <c r="BI35" s="4"/>
      <c r="BJ35" s="4"/>
      <c r="BK35" s="4"/>
      <c r="BL35" s="4"/>
      <c r="BM35" s="4"/>
      <c r="BN35" s="4"/>
      <c r="BO35" s="4"/>
    </row>
    <row r="36" spans="9:67" ht="16" customHeight="1">
      <c r="I36">
        <v>6</v>
      </c>
      <c r="J36">
        <v>7.1534262951334497</v>
      </c>
      <c r="K36">
        <v>2.5573704866550528E-2</v>
      </c>
      <c r="L36">
        <v>0.13080965526115823</v>
      </c>
      <c r="M36"/>
      <c r="N36"/>
      <c r="O36"/>
      <c r="P36"/>
      <c r="Q36"/>
      <c r="S36"/>
      <c r="T36"/>
      <c r="U36"/>
      <c r="V36"/>
      <c r="W36"/>
      <c r="X36"/>
      <c r="Y36"/>
      <c r="Z36"/>
      <c r="AA36"/>
      <c r="AC36" s="4"/>
      <c r="AD36" s="4"/>
      <c r="AE36" s="4"/>
      <c r="AF36" s="4"/>
      <c r="AG36" s="4"/>
      <c r="AH36" s="4"/>
      <c r="AI36" s="4"/>
      <c r="AJ36" s="4"/>
      <c r="AK36" s="4"/>
      <c r="AM36" s="4"/>
      <c r="AN36" s="4"/>
      <c r="AO36" s="4"/>
      <c r="AP36" s="4"/>
      <c r="AQ36" s="4"/>
      <c r="AR36" s="4"/>
      <c r="AS36" s="4"/>
      <c r="AT36" s="4"/>
      <c r="AU36" s="4"/>
      <c r="AW36" s="4"/>
      <c r="AX36" s="4"/>
      <c r="AY36" s="4"/>
      <c r="AZ36" s="4"/>
      <c r="BA36" s="4"/>
      <c r="BB36" s="4"/>
      <c r="BC36" s="4"/>
      <c r="BD36" s="4"/>
      <c r="BE36" s="4"/>
      <c r="BG36" s="4"/>
      <c r="BH36" s="4"/>
      <c r="BI36" s="4"/>
      <c r="BJ36" s="4"/>
      <c r="BK36" s="4"/>
      <c r="BL36" s="4"/>
      <c r="BM36" s="4"/>
      <c r="BN36" s="4"/>
      <c r="BO36" s="4"/>
    </row>
    <row r="37" spans="9:67" ht="16" customHeight="1" thickBot="1">
      <c r="I37" s="44">
        <v>7</v>
      </c>
      <c r="J37" s="44">
        <v>3.7273133437990715</v>
      </c>
      <c r="K37" s="44">
        <v>-6.731334379907139E-2</v>
      </c>
      <c r="L37" s="44">
        <v>-0.34430816116710872</v>
      </c>
      <c r="M37"/>
      <c r="N37"/>
      <c r="O37"/>
      <c r="P37"/>
      <c r="Q37"/>
      <c r="S37" s="44"/>
      <c r="T37" s="44"/>
      <c r="U37" s="44"/>
      <c r="V37" s="44"/>
      <c r="W37"/>
      <c r="X37"/>
      <c r="Y37"/>
      <c r="Z37"/>
      <c r="AA37"/>
      <c r="AW37" s="4"/>
      <c r="AX37" s="4"/>
      <c r="AY37" s="4"/>
      <c r="AZ37" s="4"/>
      <c r="BA37" s="4"/>
      <c r="BB37" s="4"/>
      <c r="BC37" s="4"/>
      <c r="BD37" s="4"/>
      <c r="BE37" s="4"/>
      <c r="BG37" s="4"/>
      <c r="BH37" s="4"/>
      <c r="BI37" s="4"/>
      <c r="BJ37" s="4"/>
      <c r="BK37" s="4"/>
      <c r="BL37" s="4"/>
      <c r="BM37" s="4"/>
      <c r="BN37" s="4"/>
      <c r="BO37" s="4"/>
    </row>
    <row r="38" spans="9:67" ht="16" customHeight="1">
      <c r="I38" s="4"/>
      <c r="J38" s="4"/>
      <c r="K38" s="4"/>
      <c r="L38" s="4"/>
      <c r="M38" s="4"/>
      <c r="N38" s="4"/>
      <c r="O38" s="4"/>
      <c r="P38" s="4"/>
      <c r="Q38" s="4"/>
      <c r="S38" s="4"/>
      <c r="T38" s="4"/>
      <c r="U38" s="4"/>
      <c r="V38" s="4"/>
      <c r="W38" s="4"/>
      <c r="X38" s="4"/>
      <c r="Y38" s="4"/>
      <c r="Z38" s="4"/>
      <c r="AA38" s="4"/>
    </row>
    <row r="39" spans="9:67" ht="16" customHeight="1">
      <c r="I39" s="90"/>
      <c r="J39" s="90"/>
      <c r="K39" s="90"/>
      <c r="L39" s="90"/>
      <c r="M39" s="90"/>
      <c r="N39" s="90"/>
      <c r="O39" s="90"/>
      <c r="P39" s="90"/>
      <c r="Q39" s="90"/>
      <c r="S39" s="86"/>
      <c r="T39" s="86"/>
      <c r="U39" s="86"/>
      <c r="V39" s="86"/>
      <c r="W39" s="86"/>
      <c r="X39" s="86"/>
      <c r="Y39" s="86"/>
      <c r="Z39" s="86"/>
      <c r="AA39" s="86"/>
    </row>
    <row r="40" spans="9:67" ht="16" customHeight="1">
      <c r="I40"/>
      <c r="J40"/>
      <c r="K40"/>
      <c r="L40"/>
      <c r="M40"/>
      <c r="N40"/>
      <c r="O40"/>
      <c r="P40"/>
      <c r="Q40"/>
      <c r="S40"/>
      <c r="T40"/>
      <c r="U40"/>
      <c r="V40"/>
      <c r="W40"/>
      <c r="X40"/>
      <c r="Y40"/>
      <c r="Z40"/>
      <c r="AA40"/>
    </row>
    <row r="41" spans="9:67" ht="16" customHeight="1" thickBot="1">
      <c r="I41"/>
      <c r="J41"/>
      <c r="K41"/>
      <c r="L41"/>
      <c r="M41"/>
      <c r="N41"/>
      <c r="O41"/>
      <c r="P41"/>
      <c r="Q41"/>
      <c r="S41"/>
      <c r="T41"/>
      <c r="U41"/>
      <c r="V41"/>
      <c r="W41"/>
      <c r="X41"/>
      <c r="Y41"/>
      <c r="Z41"/>
      <c r="AA41"/>
    </row>
    <row r="42" spans="9:67" ht="16" customHeight="1">
      <c r="I42" s="46"/>
      <c r="J42" s="46"/>
      <c r="K42"/>
      <c r="L42"/>
      <c r="M42"/>
      <c r="N42"/>
      <c r="O42"/>
      <c r="P42"/>
      <c r="Q42"/>
      <c r="S42" s="46"/>
      <c r="T42" s="46"/>
      <c r="U42"/>
      <c r="V42"/>
      <c r="W42"/>
      <c r="X42"/>
      <c r="Y42"/>
      <c r="Z42"/>
      <c r="AA42"/>
    </row>
    <row r="43" spans="9:67" ht="16" customHeight="1">
      <c r="I43"/>
      <c r="J43"/>
      <c r="K43"/>
      <c r="L43"/>
      <c r="M43"/>
      <c r="N43"/>
      <c r="O43"/>
      <c r="P43"/>
      <c r="Q43"/>
      <c r="S43"/>
      <c r="T43"/>
      <c r="U43"/>
      <c r="V43"/>
      <c r="W43"/>
      <c r="X43"/>
      <c r="Y43"/>
      <c r="Z43"/>
      <c r="AA43"/>
    </row>
    <row r="44" spans="9:67" ht="16" customHeight="1">
      <c r="I44"/>
      <c r="J44"/>
      <c r="K44"/>
      <c r="L44"/>
      <c r="M44"/>
      <c r="N44"/>
      <c r="O44"/>
      <c r="P44"/>
      <c r="Q44"/>
      <c r="S44"/>
      <c r="T44"/>
      <c r="U44"/>
      <c r="V44"/>
      <c r="W44"/>
      <c r="X44"/>
      <c r="Y44"/>
      <c r="Z44"/>
      <c r="AA44"/>
    </row>
    <row r="45" spans="9:67" ht="16" customHeight="1">
      <c r="I45"/>
      <c r="J45"/>
      <c r="K45"/>
      <c r="L45"/>
      <c r="M45"/>
      <c r="N45"/>
      <c r="O45"/>
      <c r="P45"/>
      <c r="Q45"/>
      <c r="S45"/>
      <c r="T45"/>
      <c r="U45"/>
      <c r="V45"/>
      <c r="W45"/>
      <c r="X45"/>
      <c r="Y45"/>
      <c r="Z45"/>
      <c r="AA45"/>
    </row>
    <row r="46" spans="9:67" ht="16" customHeight="1">
      <c r="I46"/>
      <c r="J46"/>
      <c r="K46"/>
      <c r="L46"/>
      <c r="M46"/>
      <c r="N46"/>
      <c r="O46"/>
      <c r="P46"/>
      <c r="Q46"/>
      <c r="S46"/>
      <c r="T46"/>
      <c r="U46"/>
      <c r="V46"/>
      <c r="W46"/>
      <c r="X46"/>
      <c r="Y46"/>
      <c r="Z46"/>
      <c r="AA46"/>
    </row>
    <row r="47" spans="9:67" ht="16" customHeight="1" thickBot="1">
      <c r="I47" s="44"/>
      <c r="J47" s="44"/>
      <c r="K47"/>
      <c r="L47"/>
      <c r="M47"/>
      <c r="N47"/>
      <c r="O47"/>
      <c r="P47"/>
      <c r="Q47"/>
      <c r="S47" s="44"/>
      <c r="T47" s="44"/>
      <c r="U47"/>
      <c r="V47"/>
      <c r="W47"/>
      <c r="X47"/>
      <c r="Y47"/>
      <c r="Z47"/>
      <c r="AA47"/>
    </row>
    <row r="48" spans="9:67" ht="16" customHeight="1">
      <c r="I48"/>
      <c r="J48"/>
      <c r="K48"/>
      <c r="L48"/>
      <c r="M48"/>
      <c r="N48"/>
      <c r="O48"/>
      <c r="P48"/>
      <c r="Q48"/>
      <c r="S48"/>
      <c r="T48"/>
      <c r="U48"/>
      <c r="V48"/>
      <c r="W48"/>
      <c r="X48"/>
      <c r="Y48"/>
      <c r="Z48"/>
      <c r="AA48"/>
    </row>
    <row r="49" spans="9:27" ht="16" customHeight="1" thickBot="1">
      <c r="I49"/>
      <c r="J49"/>
      <c r="K49"/>
      <c r="L49"/>
      <c r="M49"/>
      <c r="N49"/>
      <c r="O49"/>
      <c r="P49"/>
      <c r="Q49"/>
      <c r="S49"/>
      <c r="T49"/>
      <c r="U49"/>
      <c r="V49"/>
      <c r="W49"/>
      <c r="X49"/>
      <c r="Y49"/>
      <c r="Z49"/>
      <c r="AA49"/>
    </row>
    <row r="50" spans="9:27" ht="16" customHeight="1">
      <c r="I50" s="45"/>
      <c r="J50" s="45"/>
      <c r="K50" s="45"/>
      <c r="L50" s="45"/>
      <c r="M50" s="45"/>
      <c r="N50" s="45"/>
      <c r="O50"/>
      <c r="P50"/>
      <c r="Q50"/>
      <c r="S50" s="45"/>
      <c r="T50" s="45"/>
      <c r="U50" s="45"/>
      <c r="V50" s="45"/>
      <c r="W50" s="45"/>
      <c r="X50" s="45"/>
      <c r="Y50"/>
      <c r="Z50"/>
      <c r="AA50"/>
    </row>
    <row r="51" spans="9:27" ht="16" customHeight="1">
      <c r="I51"/>
      <c r="J51"/>
      <c r="K51"/>
      <c r="L51"/>
      <c r="M51"/>
      <c r="N51"/>
      <c r="O51"/>
      <c r="P51"/>
      <c r="Q51"/>
      <c r="S51"/>
      <c r="T51"/>
      <c r="U51"/>
      <c r="V51"/>
      <c r="W51"/>
      <c r="X51"/>
      <c r="Y51"/>
      <c r="Z51"/>
      <c r="AA51"/>
    </row>
    <row r="52" spans="9:27" ht="16" customHeight="1">
      <c r="I52"/>
      <c r="J52"/>
      <c r="K52"/>
      <c r="L52"/>
      <c r="M52"/>
      <c r="N52"/>
      <c r="O52"/>
      <c r="P52"/>
      <c r="Q52"/>
      <c r="S52"/>
      <c r="T52"/>
      <c r="U52"/>
      <c r="V52"/>
      <c r="W52"/>
      <c r="X52"/>
      <c r="Y52"/>
      <c r="Z52"/>
      <c r="AA52"/>
    </row>
    <row r="53" spans="9:27" ht="16" customHeight="1" thickBot="1">
      <c r="I53" s="44"/>
      <c r="J53" s="44"/>
      <c r="K53" s="44"/>
      <c r="L53" s="44"/>
      <c r="M53" s="44"/>
      <c r="N53" s="44"/>
      <c r="O53"/>
      <c r="P53"/>
      <c r="Q53"/>
      <c r="S53" s="44"/>
      <c r="T53" s="44"/>
      <c r="U53" s="44"/>
      <c r="V53" s="44"/>
      <c r="W53" s="44"/>
      <c r="X53" s="44"/>
      <c r="Y53"/>
      <c r="Z53"/>
      <c r="AA53"/>
    </row>
    <row r="54" spans="9:27" ht="16" customHeight="1" thickBot="1">
      <c r="I54"/>
      <c r="J54"/>
      <c r="K54"/>
      <c r="L54"/>
      <c r="M54"/>
      <c r="N54"/>
      <c r="O54"/>
      <c r="P54"/>
      <c r="Q54"/>
      <c r="S54"/>
      <c r="T54"/>
      <c r="U54"/>
      <c r="V54"/>
      <c r="W54"/>
      <c r="X54"/>
      <c r="Y54"/>
      <c r="Z54"/>
      <c r="AA54"/>
    </row>
    <row r="55" spans="9:27" ht="16" customHeight="1">
      <c r="I55" s="45"/>
      <c r="J55" s="45"/>
      <c r="K55" s="45"/>
      <c r="L55" s="45"/>
      <c r="M55" s="45"/>
      <c r="N55" s="45"/>
      <c r="O55" s="45"/>
      <c r="P55" s="45"/>
      <c r="Q55" s="45"/>
      <c r="S55" s="45"/>
      <c r="T55" s="45"/>
      <c r="U55" s="45"/>
      <c r="V55" s="45"/>
      <c r="W55" s="45"/>
      <c r="X55" s="45"/>
      <c r="Y55" s="45"/>
      <c r="Z55" s="45"/>
      <c r="AA55" s="45"/>
    </row>
    <row r="56" spans="9:27" ht="16" customHeight="1">
      <c r="I56"/>
      <c r="J56"/>
      <c r="K56"/>
      <c r="L56"/>
      <c r="M56"/>
      <c r="N56"/>
      <c r="O56"/>
      <c r="P56"/>
      <c r="Q56"/>
      <c r="S56"/>
      <c r="T56"/>
      <c r="U56"/>
      <c r="V56"/>
      <c r="W56"/>
      <c r="X56"/>
      <c r="Y56"/>
      <c r="Z56"/>
      <c r="AA56"/>
    </row>
    <row r="57" spans="9:27" ht="16" customHeight="1" thickBot="1">
      <c r="I57" s="44"/>
      <c r="J57" s="44"/>
      <c r="K57" s="44"/>
      <c r="L57" s="44"/>
      <c r="M57" s="44"/>
      <c r="N57" s="44"/>
      <c r="O57" s="44"/>
      <c r="P57" s="44"/>
      <c r="Q57" s="44"/>
      <c r="S57" s="44"/>
      <c r="T57" s="44"/>
      <c r="U57" s="44"/>
      <c r="V57" s="44"/>
      <c r="W57" s="44"/>
      <c r="X57" s="44"/>
      <c r="Y57" s="44"/>
      <c r="Z57" s="44"/>
      <c r="AA57" s="44"/>
    </row>
    <row r="58" spans="9:27" ht="16" customHeight="1">
      <c r="I58"/>
      <c r="J58"/>
      <c r="K58"/>
      <c r="L58"/>
      <c r="M58"/>
      <c r="N58"/>
      <c r="O58"/>
      <c r="P58"/>
      <c r="Q58"/>
      <c r="S58"/>
      <c r="T58"/>
      <c r="U58"/>
      <c r="V58"/>
      <c r="W58"/>
      <c r="X58"/>
      <c r="Y58"/>
      <c r="Z58"/>
      <c r="AA58"/>
    </row>
    <row r="59" spans="9:27" ht="16" customHeight="1">
      <c r="I59"/>
      <c r="J59"/>
      <c r="K59"/>
      <c r="L59"/>
      <c r="M59"/>
      <c r="N59"/>
      <c r="O59"/>
      <c r="P59"/>
      <c r="Q59"/>
      <c r="S59"/>
      <c r="T59"/>
      <c r="U59"/>
      <c r="V59"/>
      <c r="W59"/>
      <c r="X59"/>
      <c r="Y59"/>
      <c r="Z59"/>
      <c r="AA59"/>
    </row>
    <row r="60" spans="9:27" ht="16" customHeight="1">
      <c r="I60"/>
      <c r="J60"/>
      <c r="K60"/>
      <c r="L60"/>
      <c r="M60"/>
      <c r="N60"/>
      <c r="O60"/>
      <c r="P60"/>
      <c r="Q60"/>
      <c r="S60"/>
      <c r="T60"/>
      <c r="U60"/>
      <c r="V60"/>
      <c r="W60"/>
      <c r="X60"/>
      <c r="Y60"/>
      <c r="Z60"/>
      <c r="AA60"/>
    </row>
    <row r="61" spans="9:27" ht="16" customHeight="1">
      <c r="I61"/>
      <c r="J61"/>
      <c r="K61"/>
      <c r="L61"/>
      <c r="M61"/>
      <c r="N61"/>
      <c r="O61"/>
      <c r="P61"/>
      <c r="Q61"/>
      <c r="S61"/>
      <c r="T61"/>
      <c r="U61"/>
      <c r="V61"/>
      <c r="W61"/>
      <c r="X61"/>
      <c r="Y61"/>
      <c r="Z61"/>
      <c r="AA61"/>
    </row>
    <row r="62" spans="9:27" ht="16" customHeight="1" thickBot="1">
      <c r="I62"/>
      <c r="J62"/>
      <c r="K62"/>
      <c r="L62"/>
      <c r="M62"/>
      <c r="N62"/>
      <c r="O62"/>
      <c r="P62"/>
      <c r="Q62"/>
      <c r="S62"/>
      <c r="T62"/>
      <c r="U62"/>
      <c r="V62"/>
      <c r="W62"/>
      <c r="X62"/>
      <c r="Y62"/>
      <c r="Z62"/>
      <c r="AA62"/>
    </row>
    <row r="63" spans="9:27" ht="16" customHeight="1">
      <c r="I63" s="45"/>
      <c r="J63" s="45"/>
      <c r="K63" s="45"/>
      <c r="L63" s="45"/>
      <c r="M63"/>
      <c r="N63"/>
      <c r="O63"/>
      <c r="P63"/>
      <c r="Q63"/>
      <c r="S63" s="45"/>
      <c r="T63" s="45"/>
      <c r="U63" s="45"/>
      <c r="V63" s="45"/>
      <c r="W63"/>
      <c r="X63"/>
      <c r="Y63"/>
      <c r="Z63"/>
      <c r="AA63"/>
    </row>
    <row r="64" spans="9:27" ht="16" customHeight="1">
      <c r="I64"/>
      <c r="J64"/>
      <c r="K64"/>
      <c r="L64"/>
      <c r="M64"/>
      <c r="N64"/>
      <c r="O64"/>
      <c r="P64"/>
      <c r="Q64"/>
      <c r="S64"/>
      <c r="T64"/>
      <c r="U64"/>
      <c r="V64"/>
      <c r="W64"/>
      <c r="X64"/>
      <c r="Y64"/>
      <c r="Z64"/>
      <c r="AA64"/>
    </row>
    <row r="65" spans="9:27" ht="16" customHeight="1">
      <c r="I65"/>
      <c r="J65"/>
      <c r="K65"/>
      <c r="L65"/>
      <c r="M65"/>
      <c r="N65"/>
      <c r="O65"/>
      <c r="P65"/>
      <c r="Q65"/>
      <c r="S65"/>
      <c r="T65"/>
      <c r="U65"/>
      <c r="V65"/>
      <c r="W65"/>
      <c r="X65"/>
      <c r="Y65"/>
      <c r="Z65"/>
      <c r="AA65"/>
    </row>
    <row r="66" spans="9:27" ht="16" customHeight="1">
      <c r="I66"/>
      <c r="J66"/>
      <c r="K66"/>
      <c r="L66"/>
      <c r="M66"/>
      <c r="N66"/>
      <c r="O66"/>
      <c r="P66"/>
      <c r="Q66"/>
      <c r="S66"/>
      <c r="T66"/>
      <c r="U66"/>
      <c r="V66"/>
      <c r="W66"/>
      <c r="X66"/>
      <c r="Y66"/>
      <c r="Z66"/>
      <c r="AA66"/>
    </row>
    <row r="67" spans="9:27" ht="16" customHeight="1">
      <c r="I67"/>
      <c r="J67"/>
      <c r="K67"/>
      <c r="L67"/>
      <c r="M67"/>
      <c r="N67"/>
      <c r="O67"/>
      <c r="P67"/>
      <c r="Q67"/>
      <c r="S67"/>
      <c r="T67"/>
      <c r="U67"/>
      <c r="V67"/>
      <c r="W67"/>
      <c r="X67"/>
      <c r="Y67"/>
      <c r="Z67"/>
      <c r="AA67"/>
    </row>
    <row r="68" spans="9:27" ht="16" customHeight="1">
      <c r="I68"/>
      <c r="J68"/>
      <c r="K68"/>
      <c r="L68"/>
      <c r="M68"/>
      <c r="N68"/>
      <c r="O68"/>
      <c r="P68"/>
      <c r="Q68"/>
      <c r="S68"/>
      <c r="T68"/>
      <c r="U68"/>
      <c r="V68"/>
      <c r="W68"/>
      <c r="X68"/>
      <c r="Y68"/>
      <c r="Z68"/>
      <c r="AA68"/>
    </row>
    <row r="69" spans="9:27" ht="16" customHeight="1">
      <c r="I69"/>
      <c r="J69"/>
      <c r="K69"/>
      <c r="L69"/>
      <c r="M69"/>
      <c r="N69"/>
      <c r="O69"/>
      <c r="P69"/>
      <c r="Q69"/>
      <c r="S69"/>
      <c r="T69"/>
      <c r="U69"/>
      <c r="V69"/>
      <c r="W69"/>
      <c r="X69"/>
      <c r="Y69"/>
      <c r="Z69"/>
      <c r="AA69"/>
    </row>
    <row r="70" spans="9:27" ht="16" customHeight="1" thickBot="1">
      <c r="I70" s="44"/>
      <c r="J70" s="44"/>
      <c r="K70" s="44"/>
      <c r="L70" s="44"/>
      <c r="M70"/>
      <c r="N70"/>
      <c r="O70"/>
      <c r="P70"/>
      <c r="Q70"/>
      <c r="S70" s="44"/>
      <c r="T70" s="44"/>
      <c r="U70" s="44"/>
      <c r="V70" s="44"/>
      <c r="W70"/>
      <c r="X70"/>
      <c r="Y70"/>
      <c r="Z70"/>
      <c r="AA70"/>
    </row>
    <row r="74" spans="9:27" ht="16" customHeight="1">
      <c r="I74" s="4"/>
      <c r="J74" s="4"/>
      <c r="K74" s="4"/>
      <c r="L74" s="4"/>
      <c r="M74" s="4"/>
      <c r="N74" s="4"/>
      <c r="O74" s="4"/>
      <c r="P74" s="4"/>
      <c r="Q74" s="4"/>
      <c r="S74" s="4"/>
      <c r="T74" s="4"/>
      <c r="U74" s="4"/>
      <c r="V74" s="4"/>
      <c r="W74" s="4"/>
      <c r="X74" s="4"/>
      <c r="Y74" s="4"/>
      <c r="Z74" s="4"/>
      <c r="AA74" s="4"/>
    </row>
    <row r="75" spans="9:27" ht="16" customHeight="1">
      <c r="I75" s="4"/>
      <c r="J75" s="4"/>
      <c r="K75" s="4"/>
      <c r="L75" s="4"/>
      <c r="M75" s="4"/>
      <c r="N75" s="4"/>
      <c r="O75" s="4"/>
      <c r="P75" s="4"/>
      <c r="Q75" s="4"/>
      <c r="S75" s="4"/>
      <c r="T75" s="4"/>
      <c r="U75" s="4"/>
      <c r="V75" s="4"/>
      <c r="W75" s="4"/>
      <c r="X75" s="4"/>
      <c r="Y75" s="4"/>
      <c r="Z75" s="4"/>
      <c r="AA75" s="4"/>
    </row>
    <row r="76" spans="9:27" ht="16" customHeight="1">
      <c r="I76" s="27"/>
      <c r="J76" s="27"/>
      <c r="K76" s="4"/>
      <c r="L76" s="4"/>
      <c r="M76" s="4"/>
      <c r="N76" s="4"/>
      <c r="O76" s="4"/>
      <c r="P76" s="4"/>
      <c r="Q76" s="4"/>
      <c r="S76" s="27"/>
      <c r="T76" s="27"/>
      <c r="U76" s="4"/>
      <c r="V76" s="4"/>
      <c r="W76" s="4"/>
      <c r="X76" s="4"/>
      <c r="Y76" s="4"/>
      <c r="Z76" s="4"/>
      <c r="AA76" s="4"/>
    </row>
    <row r="77" spans="9:27" ht="16" customHeight="1">
      <c r="I77" s="4"/>
      <c r="J77" s="4"/>
      <c r="K77" s="4"/>
      <c r="L77" s="4"/>
      <c r="M77" s="4"/>
      <c r="N77" s="4"/>
      <c r="O77" s="4"/>
      <c r="P77" s="4"/>
      <c r="Q77" s="4"/>
      <c r="S77" s="4"/>
      <c r="T77" s="4"/>
      <c r="U77" s="4"/>
      <c r="V77" s="4"/>
      <c r="W77" s="4"/>
      <c r="X77" s="4"/>
      <c r="Y77" s="4"/>
      <c r="Z77" s="4"/>
      <c r="AA77" s="4"/>
    </row>
    <row r="78" spans="9:27" ht="16" customHeight="1">
      <c r="I78" s="4"/>
      <c r="J78" s="4"/>
      <c r="K78" s="4"/>
      <c r="L78" s="4"/>
      <c r="M78" s="4"/>
      <c r="N78" s="4"/>
      <c r="O78" s="4"/>
      <c r="P78" s="4"/>
      <c r="Q78" s="4"/>
      <c r="S78" s="4"/>
      <c r="T78" s="4"/>
      <c r="U78" s="4"/>
      <c r="V78" s="4"/>
      <c r="W78" s="4"/>
      <c r="X78" s="4"/>
      <c r="Y78" s="4"/>
      <c r="Z78" s="4"/>
      <c r="AA78" s="4"/>
    </row>
    <row r="79" spans="9:27" ht="16" customHeight="1">
      <c r="I79" s="4"/>
      <c r="J79" s="4"/>
      <c r="K79" s="4"/>
      <c r="L79" s="4"/>
      <c r="M79" s="4"/>
      <c r="N79" s="4"/>
      <c r="O79" s="4"/>
      <c r="P79" s="4"/>
      <c r="Q79" s="4"/>
      <c r="S79" s="4"/>
      <c r="T79" s="4"/>
      <c r="U79" s="4"/>
      <c r="V79" s="4"/>
      <c r="W79" s="4"/>
      <c r="X79" s="4"/>
      <c r="Y79" s="4"/>
      <c r="Z79" s="4"/>
      <c r="AA79" s="4"/>
    </row>
    <row r="80" spans="9:27" ht="16" customHeight="1">
      <c r="I80" s="4"/>
      <c r="J80" s="4"/>
      <c r="K80" s="4"/>
      <c r="L80" s="4"/>
      <c r="M80" s="4"/>
      <c r="N80" s="4"/>
      <c r="O80" s="4"/>
      <c r="P80" s="4"/>
      <c r="Q80" s="4"/>
      <c r="S80" s="4"/>
      <c r="T80" s="4"/>
      <c r="U80" s="4"/>
      <c r="V80" s="4"/>
      <c r="W80" s="4"/>
      <c r="X80" s="4"/>
      <c r="Y80" s="4"/>
      <c r="Z80" s="4"/>
      <c r="AA80" s="4"/>
    </row>
    <row r="81" spans="9:27" ht="16" customHeight="1">
      <c r="I81" s="4"/>
      <c r="J81" s="4"/>
      <c r="K81" s="4"/>
      <c r="L81" s="4"/>
      <c r="M81" s="4"/>
      <c r="N81" s="4"/>
      <c r="O81" s="4"/>
      <c r="P81" s="4"/>
      <c r="Q81" s="4"/>
      <c r="S81" s="4"/>
      <c r="T81" s="4"/>
      <c r="U81" s="4"/>
      <c r="V81" s="4"/>
      <c r="W81" s="4"/>
      <c r="X81" s="4"/>
      <c r="Y81" s="4"/>
      <c r="Z81" s="4"/>
      <c r="AA81" s="4"/>
    </row>
    <row r="82" spans="9:27" ht="16" customHeight="1">
      <c r="I82" s="4"/>
      <c r="J82" s="4"/>
      <c r="K82" s="4"/>
      <c r="L82" s="4"/>
      <c r="M82" s="4"/>
      <c r="N82" s="4"/>
      <c r="O82" s="4"/>
      <c r="P82" s="4"/>
      <c r="Q82" s="4"/>
      <c r="S82" s="4"/>
      <c r="T82" s="4"/>
      <c r="U82" s="4"/>
      <c r="V82" s="4"/>
      <c r="W82" s="4"/>
      <c r="X82" s="4"/>
      <c r="Y82" s="4"/>
      <c r="Z82" s="4"/>
      <c r="AA82" s="4"/>
    </row>
    <row r="83" spans="9:27" ht="16" customHeight="1">
      <c r="I83" s="4"/>
      <c r="J83" s="4"/>
      <c r="K83" s="4"/>
      <c r="L83" s="4"/>
      <c r="M83" s="4"/>
      <c r="N83" s="4"/>
      <c r="O83" s="4"/>
      <c r="P83" s="4"/>
      <c r="Q83" s="4"/>
      <c r="S83" s="4"/>
      <c r="T83" s="4"/>
      <c r="U83" s="4"/>
      <c r="V83" s="4"/>
      <c r="W83" s="4"/>
      <c r="X83" s="4"/>
      <c r="Y83" s="4"/>
      <c r="Z83" s="4"/>
      <c r="AA83" s="4"/>
    </row>
    <row r="84" spans="9:27" ht="16" customHeight="1">
      <c r="I84" s="30"/>
      <c r="J84" s="30"/>
      <c r="K84" s="30"/>
      <c r="L84" s="30"/>
      <c r="M84" s="30"/>
      <c r="N84" s="30"/>
      <c r="O84" s="4"/>
      <c r="P84" s="4"/>
      <c r="Q84" s="4"/>
      <c r="S84" s="30"/>
      <c r="T84" s="30"/>
      <c r="U84" s="30"/>
      <c r="V84" s="30"/>
      <c r="W84" s="30"/>
      <c r="X84" s="30"/>
      <c r="Y84" s="4"/>
      <c r="Z84" s="4"/>
      <c r="AA84" s="4"/>
    </row>
    <row r="85" spans="9:27" ht="16" customHeight="1">
      <c r="I85" s="4"/>
      <c r="J85" s="4"/>
      <c r="K85" s="4"/>
      <c r="L85" s="4"/>
      <c r="M85" s="4"/>
      <c r="N85" s="4"/>
      <c r="O85" s="4"/>
      <c r="P85" s="4"/>
      <c r="Q85" s="4"/>
      <c r="S85" s="4"/>
      <c r="T85" s="4"/>
      <c r="U85" s="4"/>
      <c r="V85" s="4"/>
      <c r="W85" s="4"/>
      <c r="X85" s="4"/>
      <c r="Y85" s="4"/>
      <c r="Z85" s="4"/>
      <c r="AA85" s="4"/>
    </row>
    <row r="86" spans="9:27" ht="16" customHeight="1">
      <c r="I86" s="4"/>
      <c r="J86" s="4"/>
      <c r="K86" s="4"/>
      <c r="L86" s="4"/>
      <c r="M86" s="4"/>
      <c r="N86" s="4"/>
      <c r="O86" s="4"/>
      <c r="P86" s="4"/>
      <c r="Q86" s="4"/>
      <c r="S86" s="4"/>
      <c r="T86" s="4"/>
      <c r="U86" s="4"/>
      <c r="V86" s="4"/>
      <c r="W86" s="4"/>
      <c r="X86" s="4"/>
      <c r="Y86" s="4"/>
      <c r="Z86" s="4"/>
      <c r="AA86" s="4"/>
    </row>
    <row r="87" spans="9:27" ht="16" customHeight="1">
      <c r="I87" s="4"/>
      <c r="J87" s="4"/>
      <c r="K87" s="4"/>
      <c r="L87" s="4"/>
      <c r="M87" s="4"/>
      <c r="N87" s="4"/>
      <c r="O87" s="4"/>
      <c r="P87" s="4"/>
      <c r="Q87" s="4"/>
      <c r="S87" s="4"/>
      <c r="T87" s="4"/>
      <c r="U87" s="4"/>
      <c r="V87" s="4"/>
      <c r="W87" s="4"/>
      <c r="X87" s="4"/>
      <c r="Y87" s="4"/>
      <c r="Z87" s="4"/>
      <c r="AA87" s="4"/>
    </row>
    <row r="88" spans="9:27" ht="16" customHeight="1">
      <c r="I88" s="4"/>
      <c r="J88" s="4"/>
      <c r="K88" s="4"/>
      <c r="L88" s="4"/>
      <c r="M88" s="4"/>
      <c r="N88" s="4"/>
      <c r="O88" s="4"/>
      <c r="P88" s="4"/>
      <c r="Q88" s="4"/>
      <c r="S88" s="4"/>
      <c r="T88" s="4"/>
      <c r="U88" s="4"/>
      <c r="V88" s="4"/>
      <c r="W88" s="4"/>
      <c r="X88" s="4"/>
      <c r="Y88" s="4"/>
      <c r="Z88" s="4"/>
      <c r="AA88" s="4"/>
    </row>
    <row r="89" spans="9:27" ht="16" customHeight="1">
      <c r="I89" s="30"/>
      <c r="J89" s="30"/>
      <c r="K89" s="30"/>
      <c r="L89" s="30"/>
      <c r="M89" s="30"/>
      <c r="N89" s="30"/>
      <c r="O89" s="30"/>
      <c r="P89" s="30"/>
      <c r="Q89" s="30"/>
      <c r="S89" s="30"/>
      <c r="T89" s="30"/>
      <c r="U89" s="30"/>
      <c r="V89" s="30"/>
      <c r="W89" s="30"/>
      <c r="X89" s="30"/>
      <c r="Y89" s="30"/>
      <c r="Z89" s="30"/>
      <c r="AA89" s="30"/>
    </row>
    <row r="90" spans="9:27" ht="16" customHeight="1">
      <c r="I90" s="4"/>
      <c r="J90" s="4"/>
      <c r="K90" s="4"/>
      <c r="L90" s="4"/>
      <c r="M90" s="4"/>
      <c r="N90" s="4"/>
      <c r="O90" s="4"/>
      <c r="P90" s="4"/>
      <c r="Q90" s="4"/>
      <c r="S90" s="4"/>
      <c r="T90" s="4"/>
      <c r="U90" s="4"/>
      <c r="V90" s="4"/>
      <c r="W90" s="4"/>
      <c r="X90" s="4"/>
      <c r="Y90" s="4"/>
      <c r="Z90" s="4"/>
      <c r="AA90" s="4"/>
    </row>
    <row r="91" spans="9:27" ht="16" customHeight="1">
      <c r="I91" s="4"/>
      <c r="J91" s="4"/>
      <c r="K91" s="4"/>
      <c r="L91" s="4"/>
      <c r="M91" s="4"/>
      <c r="N91" s="4"/>
      <c r="O91" s="4"/>
      <c r="P91" s="4"/>
      <c r="Q91" s="4"/>
      <c r="S91" s="4"/>
      <c r="T91" s="4"/>
      <c r="U91" s="4"/>
      <c r="V91" s="4"/>
      <c r="W91" s="4"/>
      <c r="X91" s="4"/>
      <c r="Y91" s="4"/>
      <c r="Z91" s="4"/>
      <c r="AA91" s="4"/>
    </row>
    <row r="92" spans="9:27" ht="16" customHeight="1">
      <c r="I92" s="4"/>
      <c r="J92" s="4"/>
      <c r="K92" s="4"/>
      <c r="L92" s="4"/>
      <c r="M92" s="4"/>
      <c r="N92" s="4"/>
      <c r="O92" s="4"/>
      <c r="P92" s="4"/>
      <c r="Q92" s="4"/>
      <c r="S92" s="4"/>
      <c r="T92" s="4"/>
      <c r="U92" s="4"/>
      <c r="V92" s="4"/>
      <c r="W92" s="4"/>
      <c r="X92" s="4"/>
      <c r="Y92" s="4"/>
      <c r="Z92" s="4"/>
      <c r="AA92" s="4"/>
    </row>
    <row r="93" spans="9:27" ht="16" customHeight="1">
      <c r="I93" s="4"/>
      <c r="J93" s="4"/>
      <c r="K93" s="4"/>
      <c r="L93" s="4"/>
      <c r="M93" s="4"/>
      <c r="N93" s="4"/>
      <c r="O93" s="4"/>
      <c r="P93" s="4"/>
      <c r="Q93" s="4"/>
      <c r="S93" s="4"/>
      <c r="T93" s="4"/>
      <c r="U93" s="4"/>
      <c r="V93" s="4"/>
      <c r="W93" s="4"/>
      <c r="X93" s="4"/>
      <c r="Y93" s="4"/>
      <c r="Z93" s="4"/>
      <c r="AA93" s="4"/>
    </row>
    <row r="94" spans="9:27" ht="16" customHeight="1">
      <c r="I94" s="4"/>
      <c r="J94" s="4"/>
      <c r="K94" s="4"/>
      <c r="L94" s="4"/>
      <c r="M94" s="4"/>
      <c r="N94" s="4"/>
      <c r="O94" s="4"/>
      <c r="P94" s="4"/>
      <c r="Q94" s="4"/>
      <c r="S94" s="4"/>
      <c r="T94" s="4"/>
      <c r="U94" s="4"/>
      <c r="V94" s="4"/>
      <c r="W94" s="4"/>
      <c r="X94" s="4"/>
      <c r="Y94" s="4"/>
      <c r="Z94" s="4"/>
      <c r="AA94" s="4"/>
    </row>
    <row r="95" spans="9:27" ht="16" customHeight="1">
      <c r="I95" s="4"/>
      <c r="J95" s="4"/>
      <c r="K95" s="4"/>
      <c r="L95" s="4"/>
      <c r="M95" s="4"/>
      <c r="N95" s="4"/>
      <c r="O95" s="4"/>
      <c r="P95" s="4"/>
      <c r="Q95" s="4"/>
      <c r="S95" s="4"/>
      <c r="T95" s="4"/>
      <c r="U95" s="4"/>
      <c r="V95" s="4"/>
      <c r="W95" s="4"/>
      <c r="X95" s="4"/>
      <c r="Y95" s="4"/>
      <c r="Z95" s="4"/>
      <c r="AA95" s="4"/>
    </row>
    <row r="96" spans="9:27" ht="16" customHeight="1">
      <c r="I96" s="4"/>
      <c r="J96" s="4"/>
      <c r="K96" s="4"/>
      <c r="L96" s="4"/>
      <c r="M96" s="4"/>
      <c r="N96" s="4"/>
      <c r="O96" s="4"/>
      <c r="P96" s="4"/>
      <c r="Q96" s="4"/>
      <c r="S96" s="4"/>
      <c r="T96" s="4"/>
      <c r="U96" s="4"/>
      <c r="V96" s="4"/>
      <c r="W96" s="4"/>
      <c r="X96" s="4"/>
      <c r="Y96" s="4"/>
      <c r="Z96" s="4"/>
      <c r="AA96" s="4"/>
    </row>
    <row r="97" spans="9:27" ht="16" customHeight="1">
      <c r="I97" s="30"/>
      <c r="J97" s="30"/>
      <c r="K97" s="30"/>
      <c r="L97" s="30"/>
      <c r="M97" s="4"/>
      <c r="N97" s="4"/>
      <c r="O97" s="4"/>
      <c r="P97" s="4"/>
      <c r="Q97" s="4"/>
      <c r="S97" s="30"/>
      <c r="T97" s="30"/>
      <c r="U97" s="30"/>
      <c r="V97" s="30"/>
      <c r="W97" s="4"/>
      <c r="X97" s="4"/>
      <c r="Y97" s="4"/>
      <c r="Z97" s="4"/>
      <c r="AA97" s="4"/>
    </row>
    <row r="98" spans="9:27" ht="16" customHeight="1">
      <c r="I98" s="4"/>
      <c r="J98" s="4"/>
      <c r="K98" s="4"/>
      <c r="L98" s="4"/>
      <c r="M98" s="4"/>
      <c r="N98" s="4"/>
      <c r="O98" s="4"/>
      <c r="P98" s="4"/>
      <c r="Q98" s="4"/>
      <c r="S98" s="4"/>
      <c r="T98" s="4"/>
      <c r="U98" s="4"/>
      <c r="V98" s="4"/>
      <c r="W98" s="4"/>
      <c r="X98" s="4"/>
      <c r="Y98" s="4"/>
      <c r="Z98" s="4"/>
      <c r="AA98" s="4"/>
    </row>
    <row r="99" spans="9:27" ht="16" customHeight="1">
      <c r="I99" s="4"/>
      <c r="J99" s="4"/>
      <c r="K99" s="4"/>
      <c r="L99" s="4"/>
      <c r="M99" s="4"/>
      <c r="N99" s="4"/>
      <c r="O99" s="4"/>
      <c r="P99" s="4"/>
      <c r="Q99" s="4"/>
      <c r="S99" s="4"/>
      <c r="T99" s="4"/>
      <c r="U99" s="4"/>
      <c r="V99" s="4"/>
      <c r="W99" s="4"/>
      <c r="X99" s="4"/>
      <c r="Y99" s="4"/>
      <c r="Z99" s="4"/>
      <c r="AA99" s="4"/>
    </row>
    <row r="100" spans="9:27" ht="16" customHeight="1">
      <c r="I100" s="4"/>
      <c r="J100" s="4"/>
      <c r="K100" s="4"/>
      <c r="L100" s="4"/>
      <c r="M100" s="4"/>
      <c r="N100" s="4"/>
      <c r="O100" s="4"/>
      <c r="P100" s="4"/>
      <c r="Q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9:27" ht="16" customHeight="1">
      <c r="I101" s="4"/>
      <c r="J101" s="4"/>
      <c r="K101" s="4"/>
      <c r="L101" s="4"/>
      <c r="M101" s="4"/>
      <c r="N101" s="4"/>
      <c r="O101" s="4"/>
      <c r="P101" s="4"/>
      <c r="Q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9:27" ht="16" customHeight="1">
      <c r="I102" s="4"/>
      <c r="J102" s="4"/>
      <c r="K102" s="4"/>
      <c r="L102" s="4"/>
      <c r="M102" s="4"/>
      <c r="N102" s="4"/>
      <c r="O102" s="4"/>
      <c r="P102" s="4"/>
      <c r="Q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9:27" ht="16" customHeight="1">
      <c r="I103" s="4"/>
      <c r="J103" s="4"/>
      <c r="K103" s="4"/>
      <c r="L103" s="4"/>
      <c r="M103" s="4"/>
      <c r="N103" s="4"/>
      <c r="O103" s="4"/>
      <c r="P103" s="4"/>
      <c r="Q103" s="4"/>
      <c r="S103" s="4"/>
      <c r="T103" s="4"/>
      <c r="U103" s="4"/>
      <c r="V103" s="4"/>
      <c r="W103" s="4"/>
      <c r="X103" s="4"/>
      <c r="Y103" s="4"/>
      <c r="Z103" s="4"/>
      <c r="AA103" s="4"/>
    </row>
    <row r="106" spans="9:27" ht="16" customHeight="1">
      <c r="I106" s="4"/>
      <c r="J106" s="4"/>
      <c r="K106" s="4"/>
      <c r="L106" s="4"/>
      <c r="M106" s="4"/>
      <c r="N106" s="4"/>
      <c r="O106" s="4"/>
      <c r="P106" s="4"/>
      <c r="Q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9:27" ht="16" customHeight="1">
      <c r="I107" s="4"/>
      <c r="J107" s="4"/>
      <c r="K107" s="4"/>
      <c r="L107" s="4"/>
      <c r="M107" s="4"/>
      <c r="N107" s="4"/>
      <c r="O107" s="4"/>
      <c r="P107" s="4"/>
      <c r="Q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9:27" ht="16" customHeight="1">
      <c r="I108" s="27"/>
      <c r="J108" s="27"/>
      <c r="K108" s="4"/>
      <c r="L108" s="4"/>
      <c r="M108" s="4"/>
      <c r="N108" s="4"/>
      <c r="O108" s="4"/>
      <c r="P108" s="4"/>
      <c r="Q108" s="4"/>
      <c r="S108" s="27"/>
      <c r="T108" s="27"/>
      <c r="U108" s="4"/>
      <c r="V108" s="4"/>
      <c r="W108" s="4"/>
      <c r="X108" s="4"/>
      <c r="Y108" s="4"/>
      <c r="Z108" s="4"/>
      <c r="AA108" s="4"/>
    </row>
    <row r="109" spans="9:27" ht="16" customHeight="1">
      <c r="I109" s="4"/>
      <c r="J109" s="4"/>
      <c r="K109" s="4"/>
      <c r="L109" s="4"/>
      <c r="M109" s="4"/>
      <c r="N109" s="4"/>
      <c r="O109" s="4"/>
      <c r="P109" s="4"/>
      <c r="Q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9:27" ht="16" customHeight="1">
      <c r="I110" s="4"/>
      <c r="J110" s="4"/>
      <c r="K110" s="4"/>
      <c r="L110" s="4"/>
      <c r="M110" s="4"/>
      <c r="N110" s="4"/>
      <c r="O110" s="4"/>
      <c r="P110" s="4"/>
      <c r="Q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9:27" ht="16" customHeight="1">
      <c r="I111" s="4"/>
      <c r="J111" s="4"/>
      <c r="K111" s="4"/>
      <c r="L111" s="4"/>
      <c r="M111" s="4"/>
      <c r="N111" s="4"/>
      <c r="O111" s="4"/>
      <c r="P111" s="4"/>
      <c r="Q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9:27" ht="16" customHeight="1">
      <c r="I112" s="4"/>
      <c r="J112" s="4"/>
      <c r="K112" s="4"/>
      <c r="L112" s="4"/>
      <c r="M112" s="4"/>
      <c r="N112" s="4"/>
      <c r="O112" s="4"/>
      <c r="P112" s="4"/>
      <c r="Q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9:27" ht="16" customHeight="1">
      <c r="I113" s="4"/>
      <c r="J113" s="4"/>
      <c r="K113" s="4"/>
      <c r="L113" s="4"/>
      <c r="M113" s="4"/>
      <c r="N113" s="4"/>
      <c r="O113" s="4"/>
      <c r="P113" s="4"/>
      <c r="Q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9:27" ht="16" customHeight="1">
      <c r="I114" s="4"/>
      <c r="J114" s="4"/>
      <c r="K114" s="4"/>
      <c r="L114" s="4"/>
      <c r="M114" s="4"/>
      <c r="N114" s="4"/>
      <c r="O114" s="4"/>
      <c r="P114" s="4"/>
      <c r="Q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9:27" ht="16" customHeight="1">
      <c r="I115" s="4"/>
      <c r="J115" s="4"/>
      <c r="K115" s="4"/>
      <c r="L115" s="4"/>
      <c r="M115" s="4"/>
      <c r="N115" s="4"/>
      <c r="O115" s="4"/>
      <c r="P115" s="4"/>
      <c r="Q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9:27" ht="16" customHeight="1">
      <c r="I116" s="30"/>
      <c r="J116" s="30"/>
      <c r="K116" s="30"/>
      <c r="L116" s="30"/>
      <c r="M116" s="30"/>
      <c r="N116" s="30"/>
      <c r="O116" s="4"/>
      <c r="P116" s="4"/>
      <c r="Q116" s="4"/>
      <c r="S116" s="30"/>
      <c r="T116" s="30"/>
      <c r="U116" s="30"/>
      <c r="V116" s="30"/>
      <c r="W116" s="30"/>
      <c r="X116" s="30"/>
      <c r="Y116" s="4"/>
      <c r="Z116" s="4"/>
      <c r="AA116" s="4"/>
    </row>
    <row r="117" spans="9:27" ht="16" customHeight="1">
      <c r="I117" s="4"/>
      <c r="J117" s="4"/>
      <c r="K117" s="4"/>
      <c r="L117" s="4"/>
      <c r="M117" s="4"/>
      <c r="N117" s="4"/>
      <c r="O117" s="4"/>
      <c r="P117" s="4"/>
      <c r="Q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9:27" ht="16" customHeight="1">
      <c r="I118" s="4"/>
      <c r="J118" s="4"/>
      <c r="K118" s="4"/>
      <c r="L118" s="4"/>
      <c r="M118" s="4"/>
      <c r="N118" s="4"/>
      <c r="O118" s="4"/>
      <c r="P118" s="4"/>
      <c r="Q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9:27" ht="16" customHeight="1">
      <c r="I119" s="4"/>
      <c r="J119" s="4"/>
      <c r="K119" s="4"/>
      <c r="L119" s="4"/>
      <c r="M119" s="4"/>
      <c r="N119" s="4"/>
      <c r="O119" s="4"/>
      <c r="P119" s="4"/>
      <c r="Q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9:27" ht="16" customHeight="1">
      <c r="I120" s="4"/>
      <c r="J120" s="4"/>
      <c r="K120" s="4"/>
      <c r="L120" s="4"/>
      <c r="M120" s="4"/>
      <c r="N120" s="4"/>
      <c r="O120" s="4"/>
      <c r="P120" s="4"/>
      <c r="Q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9:27" ht="16" customHeight="1">
      <c r="I121" s="30"/>
      <c r="J121" s="30"/>
      <c r="K121" s="30"/>
      <c r="L121" s="30"/>
      <c r="M121" s="30"/>
      <c r="N121" s="30"/>
      <c r="O121" s="30"/>
      <c r="P121" s="30"/>
      <c r="Q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 spans="9:27" ht="16" customHeight="1">
      <c r="I122" s="4"/>
      <c r="J122" s="4"/>
      <c r="K122" s="4"/>
      <c r="L122" s="4"/>
      <c r="M122" s="4"/>
      <c r="N122" s="4"/>
      <c r="O122" s="4"/>
      <c r="P122" s="4"/>
      <c r="Q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9:27" ht="16" customHeight="1">
      <c r="I123" s="4"/>
      <c r="J123" s="4"/>
      <c r="K123" s="4"/>
      <c r="L123" s="4"/>
      <c r="M123" s="4"/>
      <c r="N123" s="4"/>
      <c r="O123" s="4"/>
      <c r="P123" s="4"/>
      <c r="Q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9:27" ht="16" customHeight="1">
      <c r="I124" s="4"/>
      <c r="J124" s="4"/>
      <c r="K124" s="4"/>
      <c r="L124" s="4"/>
      <c r="M124" s="4"/>
      <c r="N124" s="4"/>
      <c r="O124" s="4"/>
      <c r="P124" s="4"/>
      <c r="Q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9:27" ht="16" customHeight="1">
      <c r="I125" s="4"/>
      <c r="J125" s="4"/>
      <c r="K125" s="4"/>
      <c r="L125" s="4"/>
      <c r="M125" s="4"/>
      <c r="N125" s="4"/>
      <c r="O125" s="4"/>
      <c r="P125" s="4"/>
      <c r="Q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9:27" ht="16" customHeight="1">
      <c r="I126" s="4"/>
      <c r="J126" s="4"/>
      <c r="K126" s="4"/>
      <c r="L126" s="4"/>
      <c r="M126" s="4"/>
      <c r="N126" s="4"/>
      <c r="O126" s="4"/>
      <c r="P126" s="4"/>
      <c r="Q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9:27" ht="16" customHeight="1">
      <c r="I127" s="4"/>
      <c r="J127" s="4"/>
      <c r="K127" s="4"/>
      <c r="L127" s="4"/>
      <c r="M127" s="4"/>
      <c r="N127" s="4"/>
      <c r="O127" s="4"/>
      <c r="P127" s="4"/>
      <c r="Q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9:27" ht="16" customHeight="1" thickBot="1">
      <c r="I128" s="4"/>
      <c r="J128" s="4"/>
      <c r="K128" s="4"/>
      <c r="L128" s="4"/>
      <c r="M128" s="4"/>
      <c r="N128" s="4"/>
      <c r="O128" s="4"/>
      <c r="P128" s="4"/>
      <c r="Q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9:27" ht="16" customHeight="1">
      <c r="I129" s="30"/>
      <c r="J129" s="30"/>
      <c r="K129" s="30"/>
      <c r="L129" s="30"/>
      <c r="M129" s="4"/>
      <c r="N129" s="4"/>
      <c r="O129" s="4"/>
      <c r="P129" s="4"/>
      <c r="Q129" s="4"/>
      <c r="S129" s="30"/>
      <c r="T129" s="29" t="s">
        <v>29</v>
      </c>
      <c r="U129" s="29" t="s">
        <v>27</v>
      </c>
      <c r="V129" s="29" t="s">
        <v>28</v>
      </c>
      <c r="W129" s="4"/>
      <c r="X129" s="4"/>
      <c r="Y129" s="4"/>
      <c r="Z129" s="4"/>
      <c r="AA129" s="4"/>
    </row>
    <row r="130" spans="9:27" ht="16" customHeight="1">
      <c r="I130" s="4"/>
      <c r="J130" s="4"/>
      <c r="K130" s="4"/>
      <c r="L130" s="4"/>
      <c r="M130" s="4"/>
      <c r="N130" s="4"/>
      <c r="O130" s="4"/>
      <c r="P130" s="4"/>
      <c r="Q130" s="4"/>
      <c r="S130" s="4"/>
      <c r="T130" s="4">
        <v>-2.9341104294478555</v>
      </c>
      <c r="U130" s="4">
        <v>2.9341104294478555</v>
      </c>
      <c r="V130" s="4">
        <v>0.40251451487843948</v>
      </c>
      <c r="W130" s="4"/>
      <c r="X130" s="4"/>
      <c r="Y130" s="4"/>
      <c r="Z130" s="4"/>
      <c r="AA130" s="4"/>
    </row>
    <row r="131" spans="9:27" ht="16" customHeight="1">
      <c r="I131" s="4"/>
      <c r="J131" s="4"/>
      <c r="K131" s="4"/>
      <c r="L131" s="4"/>
      <c r="M131" s="4"/>
      <c r="N131" s="4"/>
      <c r="O131" s="4"/>
      <c r="P131" s="4"/>
      <c r="Q131" s="4"/>
      <c r="S131" s="4"/>
      <c r="T131" s="4">
        <v>263.6161963190184</v>
      </c>
      <c r="U131" s="4">
        <v>5.7838036809815776</v>
      </c>
      <c r="V131" s="4">
        <v>0.79344830018566492</v>
      </c>
      <c r="W131" s="4"/>
      <c r="X131" s="4"/>
      <c r="Y131" s="4"/>
      <c r="Z131" s="4"/>
      <c r="AA131" s="4"/>
    </row>
    <row r="132" spans="9:27" ht="16" customHeight="1">
      <c r="I132" s="4"/>
      <c r="J132" s="4"/>
      <c r="K132" s="4"/>
      <c r="L132" s="4"/>
      <c r="M132" s="4"/>
      <c r="N132" s="4"/>
      <c r="O132" s="4"/>
      <c r="P132" s="4"/>
      <c r="Q132" s="4"/>
      <c r="S132" s="4"/>
      <c r="T132" s="4">
        <v>130.34104294478527</v>
      </c>
      <c r="U132" s="4">
        <v>-12.741042944785278</v>
      </c>
      <c r="V132" s="4">
        <v>-1.7478737911478981</v>
      </c>
      <c r="W132" s="4"/>
      <c r="X132" s="4"/>
      <c r="Y132" s="4"/>
      <c r="Z132" s="4"/>
      <c r="AA132" s="4"/>
    </row>
    <row r="133" spans="9:27" ht="16" customHeight="1">
      <c r="I133" s="4"/>
      <c r="J133" s="4"/>
      <c r="K133" s="4"/>
      <c r="L133" s="4"/>
      <c r="M133" s="4"/>
      <c r="N133" s="4"/>
      <c r="O133" s="4"/>
      <c r="P133" s="4"/>
      <c r="Q133" s="4"/>
      <c r="S133" s="4"/>
      <c r="T133" s="4">
        <v>50.375950920245394</v>
      </c>
      <c r="U133" s="4">
        <v>1.8440490797546047</v>
      </c>
      <c r="V133" s="4">
        <v>0.2529749777990245</v>
      </c>
      <c r="W133" s="4"/>
      <c r="X133" s="4"/>
      <c r="Y133" s="4"/>
      <c r="Z133" s="4"/>
      <c r="AA133" s="4"/>
    </row>
    <row r="134" spans="9:27" ht="16" customHeight="1" thickBot="1">
      <c r="I134" s="4"/>
      <c r="J134" s="4"/>
      <c r="K134" s="4"/>
      <c r="L134" s="4"/>
      <c r="M134" s="4"/>
      <c r="N134" s="4"/>
      <c r="O134" s="4"/>
      <c r="P134" s="4"/>
      <c r="Q134" s="4"/>
      <c r="S134" s="4"/>
      <c r="T134" s="28">
        <v>23.720920245398769</v>
      </c>
      <c r="U134" s="28">
        <v>2.1790797546012293</v>
      </c>
      <c r="V134" s="28">
        <v>0.29893599828476758</v>
      </c>
      <c r="W134" s="4"/>
      <c r="X134" s="4"/>
      <c r="Y134" s="4"/>
      <c r="Z134" s="4"/>
      <c r="AA134" s="4"/>
    </row>
  </sheetData>
  <mergeCells count="8">
    <mergeCell ref="S6:AA6"/>
    <mergeCell ref="S39:AA39"/>
    <mergeCell ref="A2:C2"/>
    <mergeCell ref="E2:G2"/>
    <mergeCell ref="I1:M1"/>
    <mergeCell ref="I6:Q6"/>
    <mergeCell ref="I39:Q39"/>
    <mergeCell ref="A1:G1"/>
  </mergeCells>
  <phoneticPr fontId="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0C72-CB16-5F40-B257-E793880A2DB4}">
  <dimension ref="A1:P206"/>
  <sheetViews>
    <sheetView zoomScale="150" zoomScaleNormal="150" workbookViewId="0">
      <selection activeCell="D3" sqref="D3:D65"/>
    </sheetView>
  </sheetViews>
  <sheetFormatPr baseColWidth="10" defaultColWidth="15.33203125" defaultRowHeight="14"/>
  <cols>
    <col min="1" max="1" width="17.6640625" style="13" bestFit="1" customWidth="1"/>
    <col min="2" max="2" width="20.5" style="13" bestFit="1" customWidth="1"/>
    <col min="3" max="4" width="15.33203125" style="13"/>
    <col min="5" max="5" width="9.33203125" style="55" bestFit="1" customWidth="1"/>
    <col min="6" max="6" width="30.1640625" style="16" bestFit="1" customWidth="1"/>
    <col min="7" max="7" width="18.6640625" style="13" customWidth="1"/>
    <col min="8" max="8" width="2.1640625" style="13" customWidth="1"/>
    <col min="9" max="9" width="25.1640625" style="13" bestFit="1" customWidth="1"/>
    <col min="10" max="10" width="15.33203125" style="13"/>
    <col min="11" max="11" width="10.5" style="13" customWidth="1"/>
    <col min="12" max="12" width="16.1640625" style="13" customWidth="1"/>
    <col min="13" max="13" width="19.1640625" style="13" customWidth="1"/>
    <col min="14" max="14" width="9.83203125" style="13" customWidth="1"/>
    <col min="15" max="15" width="25.1640625" style="13" bestFit="1" customWidth="1"/>
    <col min="16" max="16384" width="15.33203125" style="13"/>
  </cols>
  <sheetData>
    <row r="1" spans="1:13">
      <c r="A1" s="53" t="s">
        <v>173</v>
      </c>
      <c r="B1" s="53"/>
      <c r="C1" s="53"/>
      <c r="D1" s="57"/>
      <c r="E1" s="60"/>
      <c r="F1" s="3"/>
      <c r="G1" s="53"/>
      <c r="I1" s="92" t="s">
        <v>175</v>
      </c>
      <c r="J1" s="93"/>
      <c r="K1" s="93"/>
      <c r="L1" s="93"/>
      <c r="M1" s="94"/>
    </row>
    <row r="2" spans="1:13">
      <c r="A2" s="56" t="s">
        <v>144</v>
      </c>
      <c r="B2" s="56" t="s">
        <v>143</v>
      </c>
      <c r="C2" s="56" t="s">
        <v>2</v>
      </c>
      <c r="D2" s="56" t="s">
        <v>169</v>
      </c>
      <c r="E2" s="61" t="s">
        <v>170</v>
      </c>
      <c r="F2" s="56" t="s">
        <v>172</v>
      </c>
      <c r="G2" s="56" t="s">
        <v>171</v>
      </c>
      <c r="I2" s="72"/>
      <c r="J2" s="77" t="s">
        <v>169</v>
      </c>
      <c r="K2" s="77" t="s">
        <v>170</v>
      </c>
      <c r="L2" s="77" t="s">
        <v>174</v>
      </c>
      <c r="M2" s="78" t="s">
        <v>314</v>
      </c>
    </row>
    <row r="3" spans="1:13">
      <c r="A3" s="15" t="str">
        <f>working_data!A11</f>
        <v>Vial_19</v>
      </c>
      <c r="B3" s="15" t="str">
        <f>calculations!B21</f>
        <v>SLOC 10 mg/L matrix spike</v>
      </c>
      <c r="C3" s="16">
        <f>working_data!C11</f>
        <v>88.43</v>
      </c>
      <c r="D3" s="16">
        <f>(C3-cal_curves!$J$23)/cal_curves!$J$24</f>
        <v>12.861338907873941</v>
      </c>
      <c r="E3" s="55">
        <v>10</v>
      </c>
      <c r="F3" s="54">
        <f>D3-$D$8</f>
        <v>9.4290528242561535</v>
      </c>
      <c r="G3" s="54">
        <f>F3/E3</f>
        <v>0.94290528242561533</v>
      </c>
      <c r="I3" s="71" t="s">
        <v>145</v>
      </c>
      <c r="J3" s="16">
        <v>12.861338907873941</v>
      </c>
      <c r="K3" s="68">
        <v>10</v>
      </c>
      <c r="L3" s="76">
        <f>J3-$D$8</f>
        <v>9.4290528242561535</v>
      </c>
      <c r="M3" s="79">
        <f>L3/K3</f>
        <v>0.94290528242561533</v>
      </c>
    </row>
    <row r="4" spans="1:13">
      <c r="A4" s="15" t="str">
        <f>working_data!A12</f>
        <v>Vial_20</v>
      </c>
      <c r="B4" s="15" t="str">
        <f>calculations!B22</f>
        <v>SLOC 5 mg/L matrix spike</v>
      </c>
      <c r="C4" s="16">
        <f>working_data!C12</f>
        <v>56.79</v>
      </c>
      <c r="D4" s="16">
        <f>(C4-cal_curves!$J$23)/cal_curves!$J$24</f>
        <v>8.2438612517918379</v>
      </c>
      <c r="E4" s="55">
        <v>5</v>
      </c>
      <c r="F4" s="54">
        <f>D4-$D$8</f>
        <v>4.8115751681740502</v>
      </c>
      <c r="G4" s="54">
        <f t="shared" ref="G4:G7" si="0">F4/E4</f>
        <v>0.96231503363481008</v>
      </c>
      <c r="I4" s="71" t="s">
        <v>146</v>
      </c>
      <c r="J4" s="16">
        <v>8.2438612517918379</v>
      </c>
      <c r="K4" s="68">
        <v>5</v>
      </c>
      <c r="L4" s="76">
        <f>J4-$D$8</f>
        <v>4.8115751681740502</v>
      </c>
      <c r="M4" s="79">
        <f t="shared" ref="M4:M7" si="1">L4/K4</f>
        <v>0.96231503363481008</v>
      </c>
    </row>
    <row r="5" spans="1:13">
      <c r="A5" s="15" t="str">
        <f>working_data!A13</f>
        <v>Vial_21</v>
      </c>
      <c r="B5" s="15" t="str">
        <f>calculations!B23</f>
        <v>SLOC 2 mg/L matrix spike</v>
      </c>
      <c r="C5" s="16">
        <f>working_data!C13</f>
        <v>38.200000000000003</v>
      </c>
      <c r="D5" s="16">
        <f>(C5-cal_curves!$J$23)/cal_curves!$J$24</f>
        <v>5.5308742218750773</v>
      </c>
      <c r="E5" s="55">
        <v>2</v>
      </c>
      <c r="F5" s="54">
        <f t="shared" ref="F5:F7" si="2">D5-$D$8</f>
        <v>2.0985881382572895</v>
      </c>
      <c r="G5" s="54">
        <f t="shared" si="0"/>
        <v>1.0492940691286448</v>
      </c>
      <c r="I5" s="71" t="s">
        <v>147</v>
      </c>
      <c r="J5" s="16">
        <v>5.5308742218750773</v>
      </c>
      <c r="K5" s="68">
        <v>2</v>
      </c>
      <c r="L5" s="76">
        <f t="shared" ref="L5:L7" si="3">J5-$D$8</f>
        <v>2.0985881382572895</v>
      </c>
      <c r="M5" s="79">
        <f t="shared" si="1"/>
        <v>1.0492940691286448</v>
      </c>
    </row>
    <row r="6" spans="1:13">
      <c r="A6" s="15" t="str">
        <f>working_data!A14</f>
        <v>Vial_22</v>
      </c>
      <c r="B6" s="15" t="str">
        <f>calculations!B24</f>
        <v>SLOC 1 mg/L matrix spike</v>
      </c>
      <c r="C6" s="16">
        <f>working_data!C14</f>
        <v>30.55</v>
      </c>
      <c r="D6" s="16">
        <f>(C6-cal_curves!$J$23)/cal_curves!$J$24</f>
        <v>4.4144486823988416</v>
      </c>
      <c r="E6" s="55">
        <v>1</v>
      </c>
      <c r="F6" s="54">
        <f t="shared" si="2"/>
        <v>0.98216259878105383</v>
      </c>
      <c r="G6" s="54">
        <f t="shared" si="0"/>
        <v>0.98216259878105383</v>
      </c>
      <c r="I6" s="71" t="s">
        <v>148</v>
      </c>
      <c r="J6" s="16">
        <v>4.4144486823988416</v>
      </c>
      <c r="K6" s="68">
        <v>1</v>
      </c>
      <c r="L6" s="76">
        <f t="shared" si="3"/>
        <v>0.98216259878105383</v>
      </c>
      <c r="M6" s="79">
        <f t="shared" si="1"/>
        <v>0.98216259878105383</v>
      </c>
    </row>
    <row r="7" spans="1:13">
      <c r="A7" s="15" t="str">
        <f>working_data!A15</f>
        <v>Vial_23</v>
      </c>
      <c r="B7" s="15" t="str">
        <f>calculations!B25</f>
        <v>SLOC 0.5 mg/L matrix spike</v>
      </c>
      <c r="C7" s="16">
        <f>working_data!C15</f>
        <v>28.28</v>
      </c>
      <c r="D7" s="16">
        <f>(C7-cal_curves!$J$23)/cal_curves!$J$24</f>
        <v>4.0831694700313843</v>
      </c>
      <c r="E7" s="55">
        <v>0.5</v>
      </c>
      <c r="F7" s="54">
        <f t="shared" si="2"/>
        <v>0.65088338641359655</v>
      </c>
      <c r="G7" s="54">
        <f t="shared" si="0"/>
        <v>1.3017667728271931</v>
      </c>
      <c r="I7" s="71" t="s">
        <v>149</v>
      </c>
      <c r="J7" s="16">
        <v>4.0831694700313843</v>
      </c>
      <c r="K7" s="55">
        <v>0.5</v>
      </c>
      <c r="L7" s="76">
        <f t="shared" si="3"/>
        <v>0.65088338641359655</v>
      </c>
      <c r="M7" s="82">
        <f t="shared" si="1"/>
        <v>1.3017667728271931</v>
      </c>
    </row>
    <row r="8" spans="1:13">
      <c r="A8" s="15" t="str">
        <f>working_data!A16</f>
        <v>Vial_24</v>
      </c>
      <c r="B8" s="15" t="str">
        <f>calculations!B26</f>
        <v>SLOC plain matrix</v>
      </c>
      <c r="C8" s="16">
        <f>working_data!C16</f>
        <v>23.82</v>
      </c>
      <c r="D8" s="16">
        <f>(C8-cal_curves!$J$23)/cal_curves!$J$24</f>
        <v>3.4322860836177878</v>
      </c>
      <c r="E8" s="55">
        <v>0</v>
      </c>
      <c r="G8" s="54"/>
      <c r="I8" s="72" t="s">
        <v>150</v>
      </c>
      <c r="J8" s="69">
        <v>3.4322860836177878</v>
      </c>
      <c r="K8" s="70">
        <v>0</v>
      </c>
      <c r="L8" s="69"/>
      <c r="M8" s="80"/>
    </row>
    <row r="9" spans="1:13">
      <c r="A9" s="15" t="str">
        <f>working_data!A17</f>
        <v>Vial_9_QC1</v>
      </c>
      <c r="B9" s="15"/>
      <c r="C9" s="16">
        <f>working_data!C17</f>
        <v>69.55</v>
      </c>
      <c r="D9" s="16">
        <f>(C9-cal_curves!$J$23)/cal_curves!$J$24</f>
        <v>10.106029864042394</v>
      </c>
      <c r="F9" s="54"/>
      <c r="G9" s="54"/>
      <c r="I9" s="71" t="s">
        <v>151</v>
      </c>
      <c r="J9" s="16">
        <v>11.922957702797836</v>
      </c>
      <c r="K9" s="68">
        <v>10</v>
      </c>
      <c r="L9" s="76">
        <f>J9-$D$18</f>
        <v>9.957348308295888</v>
      </c>
      <c r="M9" s="79">
        <f>L9/K9</f>
        <v>0.9957348308295888</v>
      </c>
    </row>
    <row r="10" spans="1:13">
      <c r="A10" s="15" t="str">
        <f>working_data!A18</f>
        <v>Vial_14_blank1</v>
      </c>
      <c r="B10" s="15"/>
      <c r="C10" s="16">
        <f>working_data!C18</f>
        <v>0.58609999999999995</v>
      </c>
      <c r="D10" s="16">
        <f>(C10-cal_curves!$J$23)/cal_curves!$J$24</f>
        <v>4.1577672946297051E-2</v>
      </c>
      <c r="F10" s="54"/>
      <c r="G10" s="54"/>
      <c r="I10" s="71" t="s">
        <v>152</v>
      </c>
      <c r="J10" s="16">
        <v>6.9435538587548109</v>
      </c>
      <c r="K10" s="68">
        <v>5</v>
      </c>
      <c r="L10" s="76">
        <f t="shared" ref="L10:L13" si="4">J10-$D$18</f>
        <v>4.9779444642528619</v>
      </c>
      <c r="M10" s="79">
        <f t="shared" ref="M10:M13" si="5">L10/K10</f>
        <v>0.99558889285057239</v>
      </c>
    </row>
    <row r="11" spans="1:13">
      <c r="A11" s="15" t="str">
        <f>working_data!A19</f>
        <v>Vial_43_SLOC_0_REP</v>
      </c>
      <c r="B11" s="15"/>
      <c r="C11" s="16">
        <f>working_data!C19</f>
        <v>22.76</v>
      </c>
      <c r="D11" s="16">
        <f>(C11-cal_curves!$J$23)/cal_curves!$J$24</f>
        <v>3.2775918258602967</v>
      </c>
      <c r="E11" s="55">
        <v>0</v>
      </c>
      <c r="F11" s="54"/>
      <c r="G11" s="54"/>
      <c r="I11" s="71" t="s">
        <v>153</v>
      </c>
      <c r="J11" s="16">
        <v>4.1021414073035292</v>
      </c>
      <c r="K11" s="68">
        <v>2</v>
      </c>
      <c r="L11" s="76">
        <f t="shared" si="4"/>
        <v>2.1365320128015801</v>
      </c>
      <c r="M11" s="79">
        <f t="shared" si="5"/>
        <v>1.0682660064007901</v>
      </c>
    </row>
    <row r="12" spans="1:13">
      <c r="A12" s="15" t="str">
        <f>working_data!A20</f>
        <v>Vial_44_SLOC_10_REP</v>
      </c>
      <c r="B12" s="15"/>
      <c r="C12" s="16">
        <f>working_data!C20</f>
        <v>91.35</v>
      </c>
      <c r="D12" s="16">
        <f>(C12-cal_curves!$J$23)/cal_curves!$J$24</f>
        <v>13.287477806602123</v>
      </c>
      <c r="E12" s="55">
        <v>10</v>
      </c>
      <c r="F12" s="54"/>
      <c r="G12" s="54"/>
      <c r="I12" s="71" t="s">
        <v>154</v>
      </c>
      <c r="J12" s="16">
        <v>2.9871752476174587</v>
      </c>
      <c r="K12" s="68">
        <v>1</v>
      </c>
      <c r="L12" s="76">
        <f t="shared" si="4"/>
        <v>1.0215658531155096</v>
      </c>
      <c r="M12" s="79">
        <f t="shared" si="5"/>
        <v>1.0215658531155096</v>
      </c>
    </row>
    <row r="13" spans="1:13">
      <c r="A13" s="15" t="str">
        <f>working_data!A21</f>
        <v>Vial_25</v>
      </c>
      <c r="B13" s="15" t="str">
        <f>calculations!B27</f>
        <v>SLOW 10 mg/L matrix spike</v>
      </c>
      <c r="C13" s="16">
        <f>working_data!C21</f>
        <v>82</v>
      </c>
      <c r="D13" s="16">
        <f>(C13-cal_curves!$J$23)/cal_curves!$J$24</f>
        <v>11.922957702797836</v>
      </c>
      <c r="E13" s="55">
        <v>10</v>
      </c>
      <c r="F13" s="54">
        <f>D13-$D$18</f>
        <v>9.957348308295888</v>
      </c>
      <c r="G13" s="54">
        <f>F13/E13</f>
        <v>0.9957348308295888</v>
      </c>
      <c r="I13" s="71" t="s">
        <v>155</v>
      </c>
      <c r="J13" s="16">
        <v>2.4209358890334336</v>
      </c>
      <c r="K13" s="55">
        <v>0.5</v>
      </c>
      <c r="L13" s="76">
        <f t="shared" si="4"/>
        <v>0.45532649453148455</v>
      </c>
      <c r="M13" s="79">
        <f t="shared" si="5"/>
        <v>0.9106529890629691</v>
      </c>
    </row>
    <row r="14" spans="1:13">
      <c r="A14" s="15" t="str">
        <f>working_data!A22</f>
        <v>Vial_26</v>
      </c>
      <c r="B14" s="15" t="str">
        <f>calculations!B28</f>
        <v>SLOW 5 mg/L matrix spike</v>
      </c>
      <c r="C14" s="16">
        <f>working_data!C22</f>
        <v>47.88</v>
      </c>
      <c r="D14" s="16">
        <f>(C14-cal_curves!$J$23)/cal_curves!$J$24</f>
        <v>6.9435538587548109</v>
      </c>
      <c r="E14" s="55">
        <v>5</v>
      </c>
      <c r="F14" s="54">
        <f t="shared" ref="F14:F17" si="6">D14-$D$18</f>
        <v>4.9779444642528619</v>
      </c>
      <c r="G14" s="54">
        <f t="shared" ref="G14:G37" si="7">F14/E14</f>
        <v>0.99558889285057239</v>
      </c>
      <c r="I14" s="72" t="s">
        <v>156</v>
      </c>
      <c r="J14" s="69">
        <v>1.965609394501949</v>
      </c>
      <c r="K14" s="70">
        <v>0</v>
      </c>
      <c r="L14" s="69"/>
      <c r="M14" s="80"/>
    </row>
    <row r="15" spans="1:13">
      <c r="A15" s="15" t="str">
        <f>working_data!A23</f>
        <v>Vial_27</v>
      </c>
      <c r="B15" s="15" t="str">
        <f>calculations!B29</f>
        <v>SLOW 2 mg/L matrix spike</v>
      </c>
      <c r="C15" s="16">
        <f>working_data!C23</f>
        <v>28.41</v>
      </c>
      <c r="D15" s="16">
        <f>(C15-cal_curves!$J$23)/cal_curves!$J$24</f>
        <v>4.1021414073035292</v>
      </c>
      <c r="E15" s="55">
        <v>2</v>
      </c>
      <c r="F15" s="54">
        <f t="shared" si="6"/>
        <v>2.1365320128015801</v>
      </c>
      <c r="G15" s="54">
        <f t="shared" si="7"/>
        <v>1.0682660064007901</v>
      </c>
      <c r="I15" s="71" t="s">
        <v>157</v>
      </c>
      <c r="J15" s="16">
        <v>14.768748293619613</v>
      </c>
      <c r="K15" s="68">
        <v>10</v>
      </c>
      <c r="L15" s="16">
        <f>J15-$D$28</f>
        <v>9.8829199389974711</v>
      </c>
      <c r="M15" s="79">
        <f t="shared" ref="M15:M19" si="8">L15/K15</f>
        <v>0.98829199389974709</v>
      </c>
    </row>
    <row r="16" spans="1:13">
      <c r="A16" s="15" t="str">
        <f>working_data!A24</f>
        <v>Vial_28</v>
      </c>
      <c r="B16" s="15" t="str">
        <f>calculations!B30</f>
        <v>SLOW 1 mg/L matrix spike</v>
      </c>
      <c r="C16" s="16">
        <f>working_data!C24</f>
        <v>20.77</v>
      </c>
      <c r="D16" s="16">
        <f>(C16-cal_curves!$J$23)/cal_curves!$J$24</f>
        <v>2.9871752476174587</v>
      </c>
      <c r="E16" s="55">
        <v>1</v>
      </c>
      <c r="F16" s="54">
        <f t="shared" si="6"/>
        <v>1.0215658531155096</v>
      </c>
      <c r="G16" s="54">
        <f t="shared" si="7"/>
        <v>1.0215658531155096</v>
      </c>
      <c r="I16" s="71" t="s">
        <v>158</v>
      </c>
      <c r="J16" s="16">
        <v>9.7105379409076757</v>
      </c>
      <c r="K16" s="68">
        <v>5</v>
      </c>
      <c r="L16" s="16">
        <f t="shared" ref="L16:L19" si="9">J16-$D$28</f>
        <v>4.8247095862855343</v>
      </c>
      <c r="M16" s="79">
        <f t="shared" si="8"/>
        <v>0.96494191725710687</v>
      </c>
    </row>
    <row r="17" spans="1:13">
      <c r="A17" s="15" t="str">
        <f>working_data!A25</f>
        <v>Vial_29</v>
      </c>
      <c r="B17" s="15" t="str">
        <f>calculations!B31</f>
        <v>SLOW 0.5 mg/L matrix spike</v>
      </c>
      <c r="C17" s="16">
        <f>working_data!C25</f>
        <v>16.89</v>
      </c>
      <c r="D17" s="16">
        <f>(C17-cal_curves!$J$23)/cal_curves!$J$24</f>
        <v>2.4209358890334336</v>
      </c>
      <c r="E17" s="55">
        <v>0.5</v>
      </c>
      <c r="F17" s="54">
        <f t="shared" si="6"/>
        <v>0.45532649453148455</v>
      </c>
      <c r="G17" s="54">
        <f t="shared" si="7"/>
        <v>0.9106529890629691</v>
      </c>
      <c r="I17" s="71" t="s">
        <v>159</v>
      </c>
      <c r="J17" s="16">
        <v>6.7815627020464939</v>
      </c>
      <c r="K17" s="68">
        <v>2</v>
      </c>
      <c r="L17" s="16">
        <f t="shared" si="9"/>
        <v>1.8957343474243524</v>
      </c>
      <c r="M17" s="79">
        <f t="shared" si="8"/>
        <v>0.94786717371217621</v>
      </c>
    </row>
    <row r="18" spans="1:13">
      <c r="A18" s="15" t="str">
        <f>working_data!A26</f>
        <v>Vial_30</v>
      </c>
      <c r="B18" s="15" t="str">
        <f>calculations!B32</f>
        <v>SLOW plain matrix</v>
      </c>
      <c r="C18" s="16">
        <f>working_data!C26</f>
        <v>13.77</v>
      </c>
      <c r="D18" s="16">
        <f>(C18-cal_curves!$J$23)/cal_curves!$J$24</f>
        <v>1.965609394501949</v>
      </c>
      <c r="E18" s="55">
        <v>0</v>
      </c>
      <c r="G18" s="54"/>
      <c r="I18" s="71" t="s">
        <v>160</v>
      </c>
      <c r="J18" s="16">
        <v>5.8461002565507201</v>
      </c>
      <c r="K18" s="68">
        <v>1</v>
      </c>
      <c r="L18" s="16">
        <f t="shared" si="9"/>
        <v>0.96027190192857859</v>
      </c>
      <c r="M18" s="79">
        <f t="shared" si="8"/>
        <v>0.96027190192857859</v>
      </c>
    </row>
    <row r="19" spans="1:13">
      <c r="A19" s="15" t="str">
        <f>working_data!A27</f>
        <v>Vial_10_QC2</v>
      </c>
      <c r="B19" s="15"/>
      <c r="C19" s="16">
        <f>working_data!C27</f>
        <v>71.44</v>
      </c>
      <c r="D19" s="16">
        <f>(C19-cal_curves!$J$23)/cal_curves!$J$24</f>
        <v>10.381852644383581</v>
      </c>
      <c r="E19" s="58"/>
      <c r="G19" s="54"/>
      <c r="I19" s="71" t="s">
        <v>161</v>
      </c>
      <c r="J19" s="16">
        <v>5.2915359362880157</v>
      </c>
      <c r="K19" s="55">
        <v>0.5</v>
      </c>
      <c r="L19" s="16">
        <f t="shared" si="9"/>
        <v>0.40570758166587417</v>
      </c>
      <c r="M19" s="82">
        <f t="shared" si="8"/>
        <v>0.81141516333174835</v>
      </c>
    </row>
    <row r="20" spans="1:13">
      <c r="A20" s="15" t="str">
        <f>working_data!A28</f>
        <v>Vial_15_blank2</v>
      </c>
      <c r="B20" s="15"/>
      <c r="C20" s="16">
        <f>working_data!C28</f>
        <v>0.42730000000000001</v>
      </c>
      <c r="D20" s="16">
        <f>(C20-cal_curves!$J$23)/cal_curves!$J$24</f>
        <v>1.8402721878476642E-2</v>
      </c>
      <c r="E20" s="58"/>
      <c r="G20" s="54"/>
      <c r="I20" s="72" t="s">
        <v>162</v>
      </c>
      <c r="J20" s="69">
        <v>4.8858283546221415</v>
      </c>
      <c r="K20" s="70">
        <v>0</v>
      </c>
      <c r="L20" s="69"/>
      <c r="M20" s="80"/>
    </row>
    <row r="21" spans="1:13">
      <c r="A21" s="15" t="str">
        <f>working_data!A29</f>
        <v>Vial_45_SLOW_0_REP</v>
      </c>
      <c r="B21" s="15"/>
      <c r="C21" s="16">
        <f>working_data!C29</f>
        <v>12.7</v>
      </c>
      <c r="D21" s="16">
        <f>(C21-cal_curves!$J$23)/cal_curves!$J$24</f>
        <v>1.8094557569542926</v>
      </c>
      <c r="E21" s="55">
        <v>0</v>
      </c>
      <c r="G21" s="54"/>
      <c r="I21" s="71" t="s">
        <v>163</v>
      </c>
      <c r="J21" s="16">
        <v>13.910632977002585</v>
      </c>
      <c r="K21" s="68">
        <v>10</v>
      </c>
      <c r="L21" s="16">
        <f>J21-$D$38</f>
        <v>9.4669966988004433</v>
      </c>
      <c r="M21" s="79">
        <f t="shared" ref="M21:M25" si="10">L21/K21</f>
        <v>0.94669966988004428</v>
      </c>
    </row>
    <row r="22" spans="1:13">
      <c r="A22" s="15" t="str">
        <f>working_data!A30</f>
        <v>Vial_46_SLOW_10_REP</v>
      </c>
      <c r="B22" s="15"/>
      <c r="C22" s="16">
        <f>working_data!C30</f>
        <v>80.739999999999995</v>
      </c>
      <c r="D22" s="16">
        <f>(C22-cal_curves!$J$23)/cal_curves!$J$24</f>
        <v>11.739075849237043</v>
      </c>
      <c r="E22" s="55">
        <v>10</v>
      </c>
      <c r="G22" s="54"/>
      <c r="I22" s="71" t="s">
        <v>164</v>
      </c>
      <c r="J22" s="16">
        <v>9.2741833836483369</v>
      </c>
      <c r="K22" s="68">
        <v>5</v>
      </c>
      <c r="L22" s="16">
        <f t="shared" ref="L22:L25" si="11">J22-$D$38</f>
        <v>4.830547105446195</v>
      </c>
      <c r="M22" s="79">
        <f t="shared" si="10"/>
        <v>0.96610942108923903</v>
      </c>
    </row>
    <row r="23" spans="1:13">
      <c r="A23" s="15" t="str">
        <f>working_data!A31</f>
        <v>Vial_31</v>
      </c>
      <c r="B23" s="15" t="str">
        <f>calculations!B33</f>
        <v>VDOS 10 mg/L matrix spike</v>
      </c>
      <c r="C23" s="16">
        <f>working_data!C31</f>
        <v>101.5</v>
      </c>
      <c r="D23" s="16">
        <f>(C23-cal_curves!$J$23)/cal_curves!$J$24</f>
        <v>14.768748293619613</v>
      </c>
      <c r="E23" s="55">
        <v>10</v>
      </c>
      <c r="F23" s="16">
        <f>D23-$D$28</f>
        <v>9.8829199389974711</v>
      </c>
      <c r="G23" s="54">
        <f t="shared" si="7"/>
        <v>0.98829199389974709</v>
      </c>
      <c r="I23" s="71" t="s">
        <v>165</v>
      </c>
      <c r="J23" s="16">
        <v>6.4429865907282107</v>
      </c>
      <c r="K23" s="68">
        <v>2</v>
      </c>
      <c r="L23" s="16">
        <f t="shared" si="11"/>
        <v>1.9993503125260688</v>
      </c>
      <c r="M23" s="79">
        <f t="shared" si="10"/>
        <v>0.99967515626303438</v>
      </c>
    </row>
    <row r="24" spans="1:13">
      <c r="A24" s="15" t="str">
        <f>working_data!A32</f>
        <v>Vial_32</v>
      </c>
      <c r="B24" s="15" t="str">
        <f>calculations!B34</f>
        <v>VDOS 5 mg/L matrix spike</v>
      </c>
      <c r="C24" s="16">
        <f>working_data!C32</f>
        <v>66.84</v>
      </c>
      <c r="D24" s="16">
        <f>(C24-cal_curves!$J$23)/cal_curves!$J$24</f>
        <v>9.7105379409076757</v>
      </c>
      <c r="E24" s="55">
        <v>5</v>
      </c>
      <c r="F24" s="16">
        <f t="shared" ref="F24:F27" si="12">D24-$D$28</f>
        <v>4.8247095862855343</v>
      </c>
      <c r="G24" s="54">
        <f t="shared" si="7"/>
        <v>0.96494191725710687</v>
      </c>
      <c r="I24" s="71" t="s">
        <v>166</v>
      </c>
      <c r="J24" s="16">
        <v>5.5717368559996974</v>
      </c>
      <c r="K24" s="68">
        <v>1</v>
      </c>
      <c r="L24" s="16">
        <f t="shared" si="11"/>
        <v>1.1281005777975555</v>
      </c>
      <c r="M24" s="82">
        <f t="shared" si="10"/>
        <v>1.1281005777975555</v>
      </c>
    </row>
    <row r="25" spans="1:13">
      <c r="A25" s="15" t="str">
        <f>working_data!A33</f>
        <v>Vial_33</v>
      </c>
      <c r="B25" s="15" t="str">
        <f>calculations!B35</f>
        <v>VDOS 2 mg/L matrix spike</v>
      </c>
      <c r="C25" s="16">
        <f>working_data!C33</f>
        <v>46.77</v>
      </c>
      <c r="D25" s="16">
        <f>(C25-cal_curves!$J$23)/cal_curves!$J$24</f>
        <v>6.7815627020464939</v>
      </c>
      <c r="E25" s="55">
        <v>2</v>
      </c>
      <c r="F25" s="16">
        <f t="shared" si="12"/>
        <v>1.8957343474243524</v>
      </c>
      <c r="G25" s="54">
        <f t="shared" si="7"/>
        <v>0.94786717371217621</v>
      </c>
      <c r="I25" s="71" t="s">
        <v>167</v>
      </c>
      <c r="J25" s="16">
        <v>4.9865255601435274</v>
      </c>
      <c r="K25" s="55">
        <v>0.5</v>
      </c>
      <c r="L25" s="16">
        <f t="shared" si="11"/>
        <v>0.54288928194138553</v>
      </c>
      <c r="M25" s="79">
        <f t="shared" si="10"/>
        <v>1.0857785638827711</v>
      </c>
    </row>
    <row r="26" spans="1:13" ht="15" thickBot="1">
      <c r="A26" s="15" t="str">
        <f>working_data!A34</f>
        <v>Vial_34</v>
      </c>
      <c r="B26" s="15" t="str">
        <f>calculations!B36</f>
        <v>VDOS 1 mg/L matrix spike</v>
      </c>
      <c r="C26" s="16">
        <f>working_data!C34</f>
        <v>40.36</v>
      </c>
      <c r="D26" s="16">
        <f>(C26-cal_curves!$J$23)/cal_curves!$J$24</f>
        <v>5.8461002565507201</v>
      </c>
      <c r="E26" s="55">
        <v>1</v>
      </c>
      <c r="F26" s="16">
        <f t="shared" si="12"/>
        <v>0.96027190192857859</v>
      </c>
      <c r="G26" s="54">
        <f t="shared" si="7"/>
        <v>0.96027190192857859</v>
      </c>
      <c r="I26" s="73" t="s">
        <v>168</v>
      </c>
      <c r="J26" s="74">
        <v>4.4436362782021419</v>
      </c>
      <c r="K26" s="75">
        <v>0</v>
      </c>
      <c r="L26" s="74"/>
      <c r="M26" s="81"/>
    </row>
    <row r="27" spans="1:13">
      <c r="A27" s="15" t="str">
        <f>working_data!A35</f>
        <v>Vial_35</v>
      </c>
      <c r="B27" s="15" t="str">
        <f>calculations!B37</f>
        <v>VDOS 0.5 mg/L matrix spike</v>
      </c>
      <c r="C27" s="16">
        <f>working_data!C35</f>
        <v>36.56</v>
      </c>
      <c r="D27" s="16">
        <f>(C27-cal_curves!$J$23)/cal_curves!$J$24</f>
        <v>5.2915359362880157</v>
      </c>
      <c r="E27" s="55">
        <v>0.5</v>
      </c>
      <c r="F27" s="16">
        <f t="shared" si="12"/>
        <v>0.40570758166587417</v>
      </c>
      <c r="G27" s="54">
        <f t="shared" si="7"/>
        <v>0.81141516333174835</v>
      </c>
    </row>
    <row r="28" spans="1:13">
      <c r="A28" s="15" t="str">
        <f>working_data!A36</f>
        <v>Vial_36</v>
      </c>
      <c r="B28" s="15" t="str">
        <f>calculations!B38</f>
        <v>VDOS plain matrix</v>
      </c>
      <c r="C28" s="16">
        <f>working_data!C36</f>
        <v>33.78</v>
      </c>
      <c r="D28" s="16">
        <f>(C28-cal_curves!$J$23)/cal_curves!$J$24</f>
        <v>4.8858283546221415</v>
      </c>
      <c r="E28" s="55">
        <v>0</v>
      </c>
      <c r="G28" s="54"/>
    </row>
    <row r="29" spans="1:13">
      <c r="A29" s="15" t="str">
        <f>working_data!A37</f>
        <v>Vial_11_QC3</v>
      </c>
      <c r="B29" s="15"/>
      <c r="C29" s="16">
        <f>working_data!C37</f>
        <v>71.33</v>
      </c>
      <c r="D29" s="16">
        <f>(C29-cal_curves!$J$23)/cal_curves!$J$24</f>
        <v>10.365799466691767</v>
      </c>
      <c r="G29" s="54"/>
    </row>
    <row r="30" spans="1:13">
      <c r="A30" s="15" t="str">
        <f>working_data!A38</f>
        <v>Vial_16_blank3</v>
      </c>
      <c r="B30" s="15"/>
      <c r="C30" s="16">
        <f>working_data!C38</f>
        <v>0.64990000000000003</v>
      </c>
      <c r="D30" s="16">
        <f>(C30-cal_curves!$J$23)/cal_curves!$J$24</f>
        <v>5.0888516007549844E-2</v>
      </c>
      <c r="G30" s="54"/>
    </row>
    <row r="31" spans="1:13">
      <c r="A31" s="15" t="str">
        <f>working_data!A39</f>
        <v>Vial_47_VDOS_0_REP</v>
      </c>
      <c r="B31" s="15"/>
      <c r="C31" s="16">
        <f>working_data!C39</f>
        <v>31.76</v>
      </c>
      <c r="D31" s="16">
        <f>(C31-cal_curves!$J$23)/cal_curves!$J$24</f>
        <v>4.5910336370088087</v>
      </c>
      <c r="E31" s="55">
        <v>0</v>
      </c>
      <c r="G31" s="54"/>
    </row>
    <row r="32" spans="1:13">
      <c r="A32" s="15" t="str">
        <f>working_data!A40</f>
        <v>Vial_48_VDOS_10_REP</v>
      </c>
      <c r="B32" s="15"/>
      <c r="C32" s="16">
        <f>working_data!C40</f>
        <v>100.4</v>
      </c>
      <c r="D32" s="16">
        <f>(C32-cal_curves!$J$23)/cal_curves!$J$24</f>
        <v>14.608216516701463</v>
      </c>
      <c r="E32" s="55">
        <v>10</v>
      </c>
      <c r="G32" s="54"/>
    </row>
    <row r="33" spans="1:16">
      <c r="A33" s="15" t="str">
        <f>working_data!A41</f>
        <v>Vial_37</v>
      </c>
      <c r="B33" s="15" t="str">
        <f>calculations!B39</f>
        <v>VDOW 10 mg/L matrix spike</v>
      </c>
      <c r="C33" s="16">
        <f>working_data!C41</f>
        <v>95.62</v>
      </c>
      <c r="D33" s="16">
        <f>(C33-cal_curves!$J$23)/cal_curves!$J$24</f>
        <v>13.910632977002585</v>
      </c>
      <c r="E33" s="55">
        <v>10</v>
      </c>
      <c r="F33" s="16">
        <f>D33-$D$38</f>
        <v>9.4669966988004433</v>
      </c>
      <c r="G33" s="54">
        <f t="shared" si="7"/>
        <v>0.94669966988004428</v>
      </c>
    </row>
    <row r="34" spans="1:16">
      <c r="A34" s="15" t="str">
        <f>working_data!A42</f>
        <v>Vial_38</v>
      </c>
      <c r="B34" s="15" t="str">
        <f>calculations!B40</f>
        <v>VDOW 5 mg/L matrix spike</v>
      </c>
      <c r="C34" s="16">
        <f>working_data!C42</f>
        <v>63.85</v>
      </c>
      <c r="D34" s="16">
        <f>(C34-cal_curves!$J$23)/cal_curves!$J$24</f>
        <v>9.2741833836483369</v>
      </c>
      <c r="E34" s="55">
        <v>5</v>
      </c>
      <c r="F34" s="16">
        <f t="shared" ref="F34:F37" si="13">D34-$D$38</f>
        <v>4.830547105446195</v>
      </c>
      <c r="G34" s="54">
        <f t="shared" si="7"/>
        <v>0.96610942108923903</v>
      </c>
    </row>
    <row r="35" spans="1:16">
      <c r="A35" s="15" t="str">
        <f>working_data!A43</f>
        <v>Vial_39</v>
      </c>
      <c r="B35" s="15" t="str">
        <f>calculations!B41</f>
        <v>VDOW 2 mg/L matrix spike</v>
      </c>
      <c r="C35" s="16">
        <f>working_data!C43</f>
        <v>44.45</v>
      </c>
      <c r="D35" s="16">
        <f>(C35-cal_curves!$J$23)/cal_curves!$J$24</f>
        <v>6.4429865907282107</v>
      </c>
      <c r="E35" s="55">
        <v>2</v>
      </c>
      <c r="F35" s="16">
        <f t="shared" si="13"/>
        <v>1.9993503125260688</v>
      </c>
      <c r="G35" s="54">
        <f t="shared" si="7"/>
        <v>0.99967515626303438</v>
      </c>
    </row>
    <row r="36" spans="1:16">
      <c r="A36" s="15" t="str">
        <f>working_data!A44</f>
        <v>Vial_40</v>
      </c>
      <c r="B36" s="15" t="str">
        <f>calculations!B42</f>
        <v>VDOW 1 mg/L matrix spike</v>
      </c>
      <c r="C36" s="16">
        <f>working_data!C44</f>
        <v>38.479999999999997</v>
      </c>
      <c r="D36" s="16">
        <f>(C36-cal_curves!$J$23)/cal_curves!$J$24</f>
        <v>5.5717368559996974</v>
      </c>
      <c r="E36" s="55">
        <v>1</v>
      </c>
      <c r="F36" s="16">
        <f t="shared" si="13"/>
        <v>1.1281005777975555</v>
      </c>
      <c r="G36" s="54">
        <f t="shared" si="7"/>
        <v>1.1281005777975555</v>
      </c>
    </row>
    <row r="37" spans="1:16">
      <c r="A37" s="15" t="str">
        <f>working_data!A45</f>
        <v>Vial_41</v>
      </c>
      <c r="B37" s="15" t="str">
        <f>calculations!B43</f>
        <v>VDOW 0.5 mg/L matrix spike</v>
      </c>
      <c r="C37" s="16">
        <f>working_data!C45</f>
        <v>34.47</v>
      </c>
      <c r="D37" s="16">
        <f>(C37-cal_curves!$J$23)/cal_curves!$J$24</f>
        <v>4.9865255601435274</v>
      </c>
      <c r="E37" s="55">
        <v>0.5</v>
      </c>
      <c r="F37" s="16">
        <f t="shared" si="13"/>
        <v>0.54288928194138553</v>
      </c>
      <c r="G37" s="54">
        <f t="shared" si="7"/>
        <v>1.0857785638827711</v>
      </c>
    </row>
    <row r="38" spans="1:16">
      <c r="A38" s="15" t="str">
        <f>working_data!A46</f>
        <v>Vial_42</v>
      </c>
      <c r="B38" s="15" t="str">
        <f>calculations!B44</f>
        <v>VDOW plain matrix</v>
      </c>
      <c r="C38" s="16">
        <f>working_data!C46</f>
        <v>30.75</v>
      </c>
      <c r="D38" s="16">
        <f>(C38-cal_curves!$J$23)/cal_curves!$J$24</f>
        <v>4.4436362782021419</v>
      </c>
      <c r="E38" s="55">
        <v>0</v>
      </c>
      <c r="G38" s="54"/>
    </row>
    <row r="39" spans="1:16">
      <c r="A39" s="15" t="str">
        <f>working_data!A47</f>
        <v>Vial_12_QC4</v>
      </c>
      <c r="B39" s="15"/>
      <c r="C39" s="16">
        <f>working_data!C47</f>
        <v>71.41</v>
      </c>
      <c r="D39" s="16">
        <f>(C39-cal_curves!$J$23)/cal_curves!$J$24</f>
        <v>10.377474505013087</v>
      </c>
      <c r="G39" s="54"/>
    </row>
    <row r="40" spans="1:16">
      <c r="A40" s="15" t="str">
        <f>working_data!A48</f>
        <v>Vial_17_blank4</v>
      </c>
      <c r="B40" s="15"/>
      <c r="C40" s="16">
        <f>working_data!C48</f>
        <v>0.55349999999999999</v>
      </c>
      <c r="D40" s="16">
        <f>(C40-cal_curves!$J$23)/cal_curves!$J$24</f>
        <v>3.6820094830359112E-2</v>
      </c>
      <c r="G40" s="54"/>
    </row>
    <row r="41" spans="1:16">
      <c r="A41" s="15" t="str">
        <f>working_data!A49</f>
        <v>Vial_49_VDOW_0_REP</v>
      </c>
      <c r="B41" s="15"/>
      <c r="C41" s="16">
        <f>working_data!C49</f>
        <v>29.62</v>
      </c>
      <c r="D41" s="16">
        <f>(C41-cal_curves!$J$23)/cal_curves!$J$24</f>
        <v>4.2787263619134954</v>
      </c>
      <c r="E41" s="55">
        <v>0</v>
      </c>
      <c r="G41" s="54"/>
    </row>
    <row r="42" spans="1:16">
      <c r="A42" s="15" t="str">
        <f>working_data!A50</f>
        <v>Vial_50_VDOW_10_REP</v>
      </c>
      <c r="B42" s="15"/>
      <c r="C42" s="16">
        <f>working_data!C50</f>
        <v>97.31</v>
      </c>
      <c r="D42" s="16">
        <f>(C42-cal_curves!$J$23)/cal_curves!$J$24</f>
        <v>14.157268161540472</v>
      </c>
      <c r="E42" s="55">
        <v>10</v>
      </c>
      <c r="G42" s="54"/>
    </row>
    <row r="43" spans="1:16">
      <c r="A43" s="15" t="str">
        <f>working_data!A51</f>
        <v>nanopure</v>
      </c>
      <c r="B43" s="15"/>
      <c r="C43" s="16">
        <f>working_data!C51</f>
        <v>1.4850000000000001</v>
      </c>
      <c r="D43" s="16">
        <f>(C43-cal_curves!$J$23)/cal_curves!$J$24</f>
        <v>0.17276132228423013</v>
      </c>
      <c r="G43" s="16"/>
      <c r="I43" s="13" t="s">
        <v>143</v>
      </c>
      <c r="J43" s="13" t="s">
        <v>313</v>
      </c>
      <c r="O43" s="13" t="s">
        <v>143</v>
      </c>
      <c r="P43" s="13" t="s">
        <v>313</v>
      </c>
    </row>
    <row r="44" spans="1:16">
      <c r="A44" s="15" t="str">
        <f>working_data!A52</f>
        <v>Vial_51</v>
      </c>
      <c r="B44" s="15" t="str">
        <f>calculations!B53</f>
        <v>filter test: sample 1</v>
      </c>
      <c r="C44" s="16">
        <f>working_data!C52</f>
        <v>1268</v>
      </c>
      <c r="D44" s="16">
        <f>(C44-cal_curves!$J$23)/cal_curves!$J$24</f>
        <v>185.00540081636845</v>
      </c>
      <c r="G44" s="16"/>
      <c r="I44" s="2" t="s">
        <v>293</v>
      </c>
      <c r="J44" s="16">
        <v>185.00540081636845</v>
      </c>
      <c r="O44" s="2" t="s">
        <v>294</v>
      </c>
      <c r="P44" s="16">
        <v>29.347952397368097</v>
      </c>
    </row>
    <row r="45" spans="1:16">
      <c r="A45" s="15" t="str">
        <f>working_data!A53</f>
        <v>Vial_52</v>
      </c>
      <c r="B45" s="15" t="str">
        <f>calculations!B54</f>
        <v>filter test: sample 2</v>
      </c>
      <c r="C45" s="16">
        <f>working_data!C53</f>
        <v>201.4</v>
      </c>
      <c r="D45" s="16">
        <f>(C45-cal_curves!$J$23)/cal_curves!$J$24</f>
        <v>29.347952397368097</v>
      </c>
      <c r="G45" s="16"/>
      <c r="I45" s="2" t="s">
        <v>294</v>
      </c>
      <c r="J45" s="16">
        <v>29.347952397368097</v>
      </c>
      <c r="O45" s="2" t="s">
        <v>295</v>
      </c>
      <c r="P45" s="16">
        <v>20.445735677361515</v>
      </c>
    </row>
    <row r="46" spans="1:16">
      <c r="A46" s="15" t="str">
        <f>working_data!A54</f>
        <v>Vial_53</v>
      </c>
      <c r="B46" s="15" t="str">
        <f>calculations!B55</f>
        <v>filter test: sample 3</v>
      </c>
      <c r="C46" s="16">
        <f>working_data!C54</f>
        <v>140.4</v>
      </c>
      <c r="D46" s="16">
        <f>(C46-cal_curves!$J$23)/cal_curves!$J$24</f>
        <v>20.445735677361515</v>
      </c>
      <c r="G46" s="16"/>
      <c r="I46" s="2" t="s">
        <v>295</v>
      </c>
      <c r="J46" s="16">
        <v>20.445735677361515</v>
      </c>
      <c r="O46" s="2" t="s">
        <v>296</v>
      </c>
      <c r="P46" s="16">
        <v>8.4277431053526293</v>
      </c>
    </row>
    <row r="47" spans="1:16">
      <c r="A47" s="15" t="str">
        <f>working_data!A55</f>
        <v>Vial_54</v>
      </c>
      <c r="B47" s="15" t="str">
        <f>calculations!B56</f>
        <v>filter test: sample 4</v>
      </c>
      <c r="C47" s="16">
        <f>working_data!C55</f>
        <v>58.05</v>
      </c>
      <c r="D47" s="16">
        <f>(C47-cal_curves!$J$23)/cal_curves!$J$24</f>
        <v>8.4277431053526293</v>
      </c>
      <c r="G47" s="16"/>
      <c r="I47" s="2" t="s">
        <v>296</v>
      </c>
      <c r="J47" s="16">
        <v>8.4277431053526293</v>
      </c>
      <c r="O47" s="2" t="s">
        <v>297</v>
      </c>
      <c r="P47" s="16">
        <v>4.7778342501499305</v>
      </c>
    </row>
    <row r="48" spans="1:16">
      <c r="A48" s="15" t="str">
        <f>working_data!A56</f>
        <v>Vial_55</v>
      </c>
      <c r="B48" s="15" t="str">
        <f>calculations!B57</f>
        <v>filter test: sample 5</v>
      </c>
      <c r="C48" s="16">
        <f>working_data!C56</f>
        <v>33.04</v>
      </c>
      <c r="D48" s="16">
        <f>(C48-cal_curves!$J$23)/cal_curves!$J$24</f>
        <v>4.7778342501499305</v>
      </c>
      <c r="G48" s="16"/>
      <c r="I48" s="2" t="s">
        <v>297</v>
      </c>
      <c r="J48" s="16">
        <v>4.7778342501499305</v>
      </c>
      <c r="O48" s="2" t="s">
        <v>298</v>
      </c>
      <c r="P48" s="16">
        <v>2.6529772756696706</v>
      </c>
    </row>
    <row r="49" spans="1:16">
      <c r="A49" s="15" t="str">
        <f>working_data!A57</f>
        <v>Vial_56</v>
      </c>
      <c r="B49" s="15" t="str">
        <f>calculations!B58</f>
        <v>filter test: sample 6</v>
      </c>
      <c r="C49" s="16">
        <f>working_data!C57</f>
        <v>18.48</v>
      </c>
      <c r="D49" s="16">
        <f>(C49-cal_curves!$J$23)/cal_curves!$J$24</f>
        <v>2.6529772756696706</v>
      </c>
      <c r="G49" s="16"/>
      <c r="I49" s="2" t="s">
        <v>298</v>
      </c>
      <c r="J49" s="16">
        <v>2.6529772756696706</v>
      </c>
      <c r="O49" s="2" t="s">
        <v>299</v>
      </c>
      <c r="P49" s="16">
        <v>1.7904838196821475</v>
      </c>
    </row>
    <row r="50" spans="1:16">
      <c r="A50" s="15" t="str">
        <f>working_data!A58</f>
        <v>Vial_57</v>
      </c>
      <c r="B50" s="15" t="str">
        <f>calculations!B59</f>
        <v>filter test: sample 7</v>
      </c>
      <c r="C50" s="16">
        <f>working_data!C58</f>
        <v>12.57</v>
      </c>
      <c r="D50" s="16">
        <f>(C50-cal_curves!$J$23)/cal_curves!$J$24</f>
        <v>1.7904838196821475</v>
      </c>
      <c r="G50" s="16"/>
      <c r="I50" s="2" t="s">
        <v>299</v>
      </c>
      <c r="J50" s="16">
        <v>1.7904838196821475</v>
      </c>
      <c r="O50" s="2" t="s">
        <v>310</v>
      </c>
      <c r="P50" s="16">
        <v>0.80175401184535089</v>
      </c>
    </row>
    <row r="51" spans="1:16">
      <c r="A51" s="15" t="str">
        <f>working_data!A59</f>
        <v>Vial_58</v>
      </c>
      <c r="B51" s="15" t="str">
        <f>calculations!B60</f>
        <v>filter test: sample 8</v>
      </c>
      <c r="C51" s="16">
        <f>working_data!C59</f>
        <v>5.7949999999999999</v>
      </c>
      <c r="D51" s="16">
        <f>(C51-cal_curves!$J$23)/cal_curves!$J$24</f>
        <v>0.80175401184535089</v>
      </c>
      <c r="G51" s="16"/>
      <c r="I51" s="2" t="s">
        <v>310</v>
      </c>
      <c r="J51" s="16">
        <v>0.80175401184535089</v>
      </c>
      <c r="O51" s="9" t="s">
        <v>311</v>
      </c>
      <c r="P51" s="16">
        <v>0.42260714236048041</v>
      </c>
    </row>
    <row r="52" spans="1:16">
      <c r="A52" s="15" t="str">
        <f>working_data!A60</f>
        <v>Vial_59</v>
      </c>
      <c r="B52" s="15" t="str">
        <f>calculations!B61</f>
        <v>filter test: sample 9</v>
      </c>
      <c r="C52" s="16">
        <f>working_data!C60</f>
        <v>3.1970000000000001</v>
      </c>
      <c r="D52" s="16">
        <f>(C52-cal_curves!$J$23)/cal_curves!$J$24</f>
        <v>0.42260714236048041</v>
      </c>
      <c r="G52" s="16"/>
      <c r="I52" s="9" t="s">
        <v>311</v>
      </c>
      <c r="J52" s="16">
        <v>0.42260714236048041</v>
      </c>
      <c r="O52" s="2" t="s">
        <v>300</v>
      </c>
      <c r="P52" s="16">
        <v>1.2633558394745448</v>
      </c>
    </row>
    <row r="53" spans="1:16">
      <c r="A53" s="15" t="str">
        <f>working_data!A61</f>
        <v>Vial_60</v>
      </c>
      <c r="B53" s="15" t="str">
        <f>calculations!B62</f>
        <v>filter test: sample 10</v>
      </c>
      <c r="C53" s="16">
        <f>working_data!C61</f>
        <v>8.9580000000000002</v>
      </c>
      <c r="D53" s="16">
        <f>(C53-cal_curves!$J$23)/cal_curves!$J$24</f>
        <v>1.2633558394745448</v>
      </c>
      <c r="G53" s="16"/>
      <c r="I53" s="2" t="s">
        <v>300</v>
      </c>
      <c r="J53" s="16">
        <v>1.2633558394745448</v>
      </c>
      <c r="O53" s="2" t="s">
        <v>301</v>
      </c>
      <c r="P53" s="16">
        <v>0.69507334918428842</v>
      </c>
    </row>
    <row r="54" spans="1:16">
      <c r="A54" s="15" t="str">
        <f>working_data!A62</f>
        <v>Vial_61</v>
      </c>
      <c r="B54" s="15" t="str">
        <f>calculations!B63</f>
        <v>filter test: sample 11</v>
      </c>
      <c r="C54" s="16">
        <f>working_data!C62</f>
        <v>5.0640000000000001</v>
      </c>
      <c r="D54" s="16">
        <f>(C54-cal_curves!$J$23)/cal_curves!$J$24</f>
        <v>0.69507334918428842</v>
      </c>
      <c r="G54" s="16"/>
      <c r="I54" s="2" t="s">
        <v>301</v>
      </c>
      <c r="J54" s="16">
        <v>0.69507334918428842</v>
      </c>
      <c r="O54" s="2" t="s">
        <v>302</v>
      </c>
      <c r="P54" s="16">
        <v>0.28819826368628265</v>
      </c>
    </row>
    <row r="55" spans="1:16">
      <c r="A55" s="15" t="str">
        <f>working_data!A63</f>
        <v>Vial_62</v>
      </c>
      <c r="B55" s="15" t="str">
        <f>calculations!B64</f>
        <v>filter test: sample 12</v>
      </c>
      <c r="C55" s="16">
        <f>working_data!C63</f>
        <v>2.2759999999999998</v>
      </c>
      <c r="D55" s="16">
        <f>(C55-cal_curves!$J$23)/cal_curves!$J$24</f>
        <v>0.28819826368628265</v>
      </c>
      <c r="G55" s="16"/>
      <c r="I55" s="2" t="s">
        <v>302</v>
      </c>
      <c r="J55" s="16">
        <v>0.28819826368628265</v>
      </c>
      <c r="O55" s="2" t="s">
        <v>303</v>
      </c>
      <c r="P55" s="16">
        <v>0.15991878013077801</v>
      </c>
    </row>
    <row r="56" spans="1:16">
      <c r="A56" s="15" t="str">
        <f>working_data!A64</f>
        <v>Vial_63</v>
      </c>
      <c r="B56" s="15" t="str">
        <f>calculations!B65</f>
        <v>filter test: sample 13</v>
      </c>
      <c r="C56" s="16">
        <f>working_data!C64</f>
        <v>1.397</v>
      </c>
      <c r="D56" s="16">
        <f>(C56-cal_curves!$J$23)/cal_curves!$J$24</f>
        <v>0.15991878013077801</v>
      </c>
      <c r="G56" s="16"/>
      <c r="I56" s="2" t="s">
        <v>303</v>
      </c>
      <c r="J56" s="16">
        <v>0.15991878013077801</v>
      </c>
      <c r="O56" s="9" t="s">
        <v>308</v>
      </c>
      <c r="P56" s="16">
        <v>9.2320308250334576E-2</v>
      </c>
    </row>
    <row r="57" spans="1:16">
      <c r="A57" s="15" t="str">
        <f>working_data!A65</f>
        <v>Vial_64</v>
      </c>
      <c r="B57" s="15" t="str">
        <f>calculations!B66</f>
        <v>filter test: sample 14</v>
      </c>
      <c r="C57" s="16">
        <f>working_data!C65</f>
        <v>0.93379999999999996</v>
      </c>
      <c r="D57" s="16">
        <f>(C57-cal_curves!$J$23)/cal_curves!$J$24</f>
        <v>9.2320308250334576E-2</v>
      </c>
      <c r="G57" s="16"/>
      <c r="I57" s="9" t="s">
        <v>308</v>
      </c>
      <c r="J57" s="16">
        <v>9.2320308250334576E-2</v>
      </c>
      <c r="O57" s="2" t="s">
        <v>304</v>
      </c>
      <c r="P57" s="16">
        <v>5.9995045898179535E-2</v>
      </c>
    </row>
    <row r="58" spans="1:16">
      <c r="A58" s="15" t="str">
        <f>working_data!A66</f>
        <v>Vial_65</v>
      </c>
      <c r="B58" s="15" t="str">
        <f>calculations!B67</f>
        <v>filter test: sample 15</v>
      </c>
      <c r="C58" s="16">
        <f>working_data!C66</f>
        <v>0.71230000000000004</v>
      </c>
      <c r="D58" s="16">
        <f>(C58-cal_curves!$J$23)/cal_curves!$J$24</f>
        <v>5.9995045898179535E-2</v>
      </c>
      <c r="G58" s="16"/>
      <c r="I58" s="2" t="s">
        <v>304</v>
      </c>
      <c r="J58" s="16">
        <v>5.9995045898179535E-2</v>
      </c>
      <c r="O58" s="2" t="s">
        <v>305</v>
      </c>
      <c r="P58" s="16">
        <v>4.0147480751935347E-2</v>
      </c>
    </row>
    <row r="59" spans="1:16">
      <c r="A59" s="15" t="str">
        <f>working_data!A67</f>
        <v>Vial_66</v>
      </c>
      <c r="B59" s="15" t="str">
        <f>calculations!B68</f>
        <v>filter test: sample 16</v>
      </c>
      <c r="C59" s="16">
        <f>working_data!C67</f>
        <v>0.57630000000000003</v>
      </c>
      <c r="D59" s="16">
        <f>(C59-cal_curves!$J$23)/cal_curves!$J$24</f>
        <v>4.0147480751935347E-2</v>
      </c>
      <c r="G59" s="16"/>
      <c r="I59" s="2" t="s">
        <v>305</v>
      </c>
      <c r="J59" s="16">
        <v>4.0147480751935347E-2</v>
      </c>
      <c r="O59" s="2" t="s">
        <v>306</v>
      </c>
      <c r="P59" s="16">
        <v>3.8133536641507627E-2</v>
      </c>
    </row>
    <row r="60" spans="1:16">
      <c r="A60" s="15" t="str">
        <f>working_data!A68</f>
        <v>Vial_67</v>
      </c>
      <c r="B60" s="15" t="str">
        <f>calculations!B69</f>
        <v>filter test: sample 17</v>
      </c>
      <c r="C60" s="16">
        <f>working_data!C68</f>
        <v>0.5625</v>
      </c>
      <c r="D60" s="16">
        <f>(C60-cal_curves!$J$23)/cal_curves!$J$24</f>
        <v>3.8133536641507627E-2</v>
      </c>
      <c r="G60" s="16"/>
      <c r="I60" s="2" t="s">
        <v>306</v>
      </c>
      <c r="J60" s="16">
        <v>3.8133536641507627E-2</v>
      </c>
      <c r="O60" s="2" t="s">
        <v>307</v>
      </c>
      <c r="P60" s="16">
        <v>7.6953039059896991E-2</v>
      </c>
    </row>
    <row r="61" spans="1:16">
      <c r="A61" s="15" t="str">
        <f>working_data!A69</f>
        <v>Vial_68</v>
      </c>
      <c r="B61" s="15" t="str">
        <f>calculations!B70</f>
        <v>filter test: sample 18</v>
      </c>
      <c r="C61" s="16">
        <f>working_data!C69</f>
        <v>0.82850000000000001</v>
      </c>
      <c r="D61" s="16">
        <f>(C61-cal_curves!$J$23)/cal_curves!$J$24</f>
        <v>7.6953039059896991E-2</v>
      </c>
      <c r="G61" s="16"/>
      <c r="I61" s="2" t="s">
        <v>307</v>
      </c>
      <c r="J61" s="16">
        <v>7.6953039059896991E-2</v>
      </c>
      <c r="O61" s="2" t="s">
        <v>309</v>
      </c>
      <c r="P61" s="16">
        <v>0.12182896760747114</v>
      </c>
    </row>
    <row r="62" spans="1:16">
      <c r="A62" s="15" t="str">
        <f>working_data!A70</f>
        <v>Vial_69</v>
      </c>
      <c r="B62" s="15" t="str">
        <f>calculations!B71</f>
        <v>filter test: sample 19</v>
      </c>
      <c r="C62" s="16">
        <f>working_data!C70</f>
        <v>1.1359999999999999</v>
      </c>
      <c r="D62" s="16">
        <f>(C62-cal_curves!$J$23)/cal_curves!$J$24</f>
        <v>0.12182896760747114</v>
      </c>
      <c r="G62" s="16"/>
      <c r="I62" s="2" t="s">
        <v>309</v>
      </c>
      <c r="J62" s="16">
        <v>0.12182896760747114</v>
      </c>
      <c r="O62" s="2" t="s">
        <v>312</v>
      </c>
      <c r="P62" s="16">
        <v>0.42640152981490947</v>
      </c>
    </row>
    <row r="63" spans="1:16">
      <c r="A63" s="15" t="str">
        <f>working_data!A71</f>
        <v>Vial_70</v>
      </c>
      <c r="B63" s="15" t="str">
        <f>calculations!B72</f>
        <v>filter test: sample 20</v>
      </c>
      <c r="C63" s="16">
        <f>working_data!C71</f>
        <v>3.2229999999999999</v>
      </c>
      <c r="D63" s="16">
        <f>(C63-cal_curves!$J$23)/cal_curves!$J$24</f>
        <v>0.42640152981490947</v>
      </c>
      <c r="G63" s="16"/>
      <c r="I63" s="2" t="s">
        <v>312</v>
      </c>
      <c r="J63" s="16">
        <v>0.42640152981490947</v>
      </c>
    </row>
    <row r="64" spans="1:16">
      <c r="A64" s="15" t="str">
        <f>working_data!A72</f>
        <v>Vial_13_QC5</v>
      </c>
      <c r="B64" s="15"/>
      <c r="C64" s="16">
        <f>working_data!C72</f>
        <v>72.239999999999995</v>
      </c>
      <c r="D64" s="16">
        <f>(C64-cal_curves!$J$23)/cal_curves!$J$24</f>
        <v>10.498603027596783</v>
      </c>
      <c r="G64" s="16"/>
    </row>
    <row r="65" spans="1:7">
      <c r="A65" s="15" t="str">
        <f>working_data!A73</f>
        <v>Vial_18_blank5</v>
      </c>
      <c r="B65" s="15"/>
      <c r="C65" s="16">
        <f>working_data!C73</f>
        <v>0.3891</v>
      </c>
      <c r="D65" s="16">
        <f>(C65-cal_curves!$J$23)/cal_curves!$J$24</f>
        <v>1.282789108004629E-2</v>
      </c>
      <c r="G65" s="16"/>
    </row>
    <row r="66" spans="1:7">
      <c r="A66" s="15"/>
      <c r="B66" s="15"/>
      <c r="C66" s="16"/>
      <c r="D66" s="16"/>
      <c r="G66" s="16"/>
    </row>
    <row r="67" spans="1:7">
      <c r="A67" s="15"/>
      <c r="B67" s="15"/>
      <c r="C67" s="16"/>
      <c r="D67" s="16"/>
      <c r="G67" s="16"/>
    </row>
    <row r="68" spans="1:7">
      <c r="A68" s="15"/>
      <c r="B68" s="15"/>
      <c r="C68" s="16"/>
      <c r="D68" s="16"/>
      <c r="G68" s="16"/>
    </row>
    <row r="69" spans="1:7">
      <c r="A69" s="15"/>
      <c r="B69" s="15"/>
      <c r="C69" s="16"/>
      <c r="D69" s="16"/>
      <c r="G69" s="16"/>
    </row>
    <row r="70" spans="1:7">
      <c r="A70" s="15"/>
      <c r="B70" s="15"/>
      <c r="C70" s="16"/>
      <c r="D70" s="16"/>
      <c r="G70" s="16"/>
    </row>
    <row r="71" spans="1:7">
      <c r="A71" s="15"/>
      <c r="B71" s="15"/>
      <c r="C71" s="16"/>
      <c r="D71" s="16"/>
      <c r="G71" s="16"/>
    </row>
    <row r="72" spans="1:7">
      <c r="A72" s="15"/>
      <c r="B72" s="15"/>
      <c r="C72" s="16"/>
      <c r="D72" s="16"/>
      <c r="G72" s="16"/>
    </row>
    <row r="73" spans="1:7">
      <c r="A73" s="15"/>
      <c r="B73" s="15"/>
      <c r="C73" s="16"/>
      <c r="D73" s="16"/>
      <c r="G73" s="16"/>
    </row>
    <row r="74" spans="1:7">
      <c r="A74" s="15"/>
      <c r="B74" s="15"/>
      <c r="C74" s="16"/>
      <c r="D74" s="16"/>
      <c r="G74" s="16"/>
    </row>
    <row r="75" spans="1:7">
      <c r="A75" s="15"/>
      <c r="B75" s="15"/>
      <c r="C75" s="16"/>
      <c r="D75" s="16"/>
      <c r="G75" s="16"/>
    </row>
    <row r="76" spans="1:7">
      <c r="A76" s="15"/>
      <c r="B76" s="15"/>
      <c r="C76" s="16"/>
      <c r="D76" s="16"/>
      <c r="G76" s="16"/>
    </row>
    <row r="77" spans="1:7">
      <c r="A77" s="15"/>
      <c r="B77" s="15"/>
      <c r="C77" s="16"/>
      <c r="D77" s="16"/>
      <c r="G77" s="16"/>
    </row>
    <row r="78" spans="1:7">
      <c r="A78" s="15"/>
      <c r="B78" s="15"/>
      <c r="C78" s="16"/>
      <c r="D78" s="16"/>
      <c r="G78" s="16"/>
    </row>
    <row r="79" spans="1:7">
      <c r="A79" s="15"/>
      <c r="B79" s="15"/>
      <c r="C79" s="16"/>
      <c r="D79" s="16"/>
      <c r="G79" s="16"/>
    </row>
    <row r="80" spans="1:7">
      <c r="A80" s="15"/>
      <c r="B80" s="15"/>
      <c r="C80" s="16"/>
      <c r="D80" s="16"/>
      <c r="G80" s="16"/>
    </row>
    <row r="81" spans="1:7">
      <c r="A81" s="15"/>
      <c r="B81" s="15"/>
      <c r="C81" s="16"/>
      <c r="D81" s="16"/>
      <c r="G81" s="16"/>
    </row>
    <row r="82" spans="1:7">
      <c r="A82" s="15"/>
      <c r="B82" s="15"/>
      <c r="D82" s="16"/>
      <c r="G82" s="16"/>
    </row>
    <row r="83" spans="1:7">
      <c r="A83" s="15"/>
      <c r="B83" s="15"/>
      <c r="D83" s="16"/>
      <c r="G83" s="16"/>
    </row>
    <row r="84" spans="1:7">
      <c r="A84" s="15"/>
      <c r="B84" s="15"/>
      <c r="D84" s="16"/>
      <c r="G84" s="16"/>
    </row>
    <row r="85" spans="1:7">
      <c r="A85" s="15"/>
      <c r="B85" s="15"/>
      <c r="D85" s="16"/>
      <c r="G85" s="16"/>
    </row>
    <row r="86" spans="1:7">
      <c r="A86" s="15"/>
      <c r="B86" s="15"/>
      <c r="D86" s="16"/>
      <c r="G86" s="16"/>
    </row>
    <row r="87" spans="1:7">
      <c r="A87" s="15"/>
      <c r="B87" s="15"/>
      <c r="D87" s="16"/>
      <c r="G87" s="16"/>
    </row>
    <row r="88" spans="1:7">
      <c r="A88" s="15"/>
      <c r="B88" s="15"/>
      <c r="D88" s="16"/>
      <c r="G88" s="16"/>
    </row>
    <row r="89" spans="1:7">
      <c r="A89" s="15"/>
      <c r="B89" s="15"/>
      <c r="D89" s="16"/>
      <c r="G89" s="16"/>
    </row>
    <row r="90" spans="1:7">
      <c r="A90" s="15"/>
      <c r="B90" s="15"/>
      <c r="D90" s="16"/>
      <c r="G90" s="16"/>
    </row>
    <row r="91" spans="1:7">
      <c r="A91" s="15"/>
      <c r="B91" s="15"/>
      <c r="D91" s="16"/>
      <c r="G91" s="16"/>
    </row>
    <row r="92" spans="1:7">
      <c r="A92" s="15"/>
      <c r="B92" s="15"/>
      <c r="D92" s="16"/>
      <c r="G92" s="16"/>
    </row>
    <row r="93" spans="1:7">
      <c r="A93" s="15"/>
      <c r="B93" s="15"/>
      <c r="D93" s="16"/>
      <c r="G93" s="16"/>
    </row>
    <row r="94" spans="1:7">
      <c r="A94" s="15"/>
      <c r="B94" s="15"/>
      <c r="D94" s="16"/>
      <c r="G94" s="16"/>
    </row>
    <row r="95" spans="1:7">
      <c r="A95" s="15"/>
      <c r="B95" s="15"/>
      <c r="D95" s="16"/>
      <c r="G95" s="16"/>
    </row>
    <row r="96" spans="1:7">
      <c r="A96" s="15"/>
      <c r="B96" s="15"/>
      <c r="D96" s="16"/>
      <c r="G96" s="16"/>
    </row>
    <row r="97" spans="1:7">
      <c r="A97" s="15"/>
      <c r="B97" s="15"/>
      <c r="D97" s="16"/>
      <c r="G97" s="16"/>
    </row>
    <row r="98" spans="1:7">
      <c r="A98" s="15"/>
      <c r="B98" s="15"/>
      <c r="D98" s="16"/>
      <c r="G98" s="16"/>
    </row>
    <row r="99" spans="1:7">
      <c r="A99" s="15"/>
      <c r="B99" s="15"/>
    </row>
    <row r="100" spans="1:7">
      <c r="A100" s="15"/>
      <c r="B100" s="15"/>
    </row>
    <row r="101" spans="1:7">
      <c r="A101" s="15"/>
      <c r="B101" s="15"/>
    </row>
    <row r="102" spans="1:7">
      <c r="A102" s="15"/>
      <c r="B102" s="15"/>
    </row>
    <row r="103" spans="1:7">
      <c r="A103" s="15"/>
      <c r="B103" s="15"/>
    </row>
    <row r="104" spans="1:7">
      <c r="A104" s="15"/>
      <c r="B104" s="15"/>
    </row>
    <row r="105" spans="1:7">
      <c r="A105" s="15"/>
      <c r="B105" s="15"/>
    </row>
    <row r="106" spans="1:7">
      <c r="A106" s="15"/>
      <c r="B106" s="15"/>
    </row>
    <row r="107" spans="1:7">
      <c r="A107" s="15"/>
      <c r="B107" s="15"/>
    </row>
    <row r="108" spans="1:7">
      <c r="A108" s="15"/>
      <c r="B108" s="15"/>
    </row>
    <row r="109" spans="1:7">
      <c r="A109" s="15"/>
      <c r="B109" s="15"/>
    </row>
    <row r="110" spans="1:7">
      <c r="A110" s="15"/>
      <c r="B110" s="15"/>
    </row>
    <row r="111" spans="1:7">
      <c r="A111" s="15"/>
      <c r="B111" s="15"/>
    </row>
    <row r="112" spans="1:7">
      <c r="A112" s="15"/>
      <c r="B112" s="15"/>
    </row>
    <row r="113" spans="1:2">
      <c r="A113" s="15"/>
      <c r="B113" s="15"/>
    </row>
    <row r="114" spans="1:2">
      <c r="A114" s="15"/>
      <c r="B114" s="15"/>
    </row>
    <row r="115" spans="1:2">
      <c r="A115" s="15"/>
      <c r="B115" s="15"/>
    </row>
    <row r="116" spans="1:2">
      <c r="A116" s="15"/>
      <c r="B116" s="15"/>
    </row>
    <row r="117" spans="1:2">
      <c r="A117" s="15"/>
      <c r="B117" s="15"/>
    </row>
    <row r="118" spans="1:2">
      <c r="A118" s="15"/>
      <c r="B118" s="15"/>
    </row>
    <row r="119" spans="1:2">
      <c r="A119" s="15"/>
      <c r="B119" s="15"/>
    </row>
    <row r="120" spans="1:2">
      <c r="A120" s="15"/>
      <c r="B120" s="15"/>
    </row>
    <row r="121" spans="1:2">
      <c r="A121" s="15"/>
      <c r="B121" s="15"/>
    </row>
    <row r="122" spans="1:2">
      <c r="A122" s="15"/>
      <c r="B122" s="15"/>
    </row>
    <row r="123" spans="1:2">
      <c r="A123" s="15"/>
      <c r="B123" s="15"/>
    </row>
    <row r="124" spans="1:2">
      <c r="A124" s="15"/>
      <c r="B124" s="15"/>
    </row>
    <row r="125" spans="1:2">
      <c r="A125" s="15"/>
      <c r="B125" s="15"/>
    </row>
    <row r="126" spans="1:2">
      <c r="A126" s="15"/>
      <c r="B126" s="15"/>
    </row>
    <row r="127" spans="1:2">
      <c r="A127" s="15"/>
      <c r="B127" s="15"/>
    </row>
    <row r="128" spans="1:2">
      <c r="A128" s="15"/>
      <c r="B128" s="15"/>
    </row>
    <row r="129" spans="1:2">
      <c r="A129" s="15"/>
      <c r="B129" s="15"/>
    </row>
    <row r="130" spans="1:2">
      <c r="A130" s="15"/>
      <c r="B130" s="15"/>
    </row>
    <row r="131" spans="1:2">
      <c r="A131" s="15"/>
      <c r="B131" s="15"/>
    </row>
    <row r="132" spans="1:2">
      <c r="A132" s="15"/>
      <c r="B132" s="15"/>
    </row>
    <row r="133" spans="1:2">
      <c r="A133" s="15"/>
      <c r="B133" s="15"/>
    </row>
    <row r="134" spans="1:2">
      <c r="A134" s="15"/>
      <c r="B134" s="15"/>
    </row>
    <row r="135" spans="1:2">
      <c r="A135" s="15"/>
      <c r="B135" s="15"/>
    </row>
    <row r="136" spans="1:2">
      <c r="A136" s="15"/>
      <c r="B136" s="15"/>
    </row>
    <row r="137" spans="1:2">
      <c r="A137" s="15"/>
      <c r="B137" s="15"/>
    </row>
    <row r="138" spans="1:2">
      <c r="A138" s="15"/>
      <c r="B138" s="15"/>
    </row>
    <row r="139" spans="1:2">
      <c r="A139" s="15"/>
      <c r="B139" s="15"/>
    </row>
    <row r="140" spans="1:2">
      <c r="A140" s="15"/>
      <c r="B140" s="15"/>
    </row>
    <row r="141" spans="1:2">
      <c r="A141" s="15"/>
      <c r="B141" s="15"/>
    </row>
    <row r="142" spans="1:2">
      <c r="A142" s="15"/>
      <c r="B142" s="15"/>
    </row>
    <row r="143" spans="1:2">
      <c r="A143" s="15"/>
      <c r="B143" s="15"/>
    </row>
    <row r="144" spans="1:2">
      <c r="A144" s="15"/>
      <c r="B144" s="15"/>
    </row>
    <row r="145" spans="1:2">
      <c r="A145" s="15"/>
      <c r="B145" s="15"/>
    </row>
    <row r="146" spans="1:2">
      <c r="A146" s="15"/>
      <c r="B146" s="15"/>
    </row>
    <row r="147" spans="1:2">
      <c r="A147" s="15"/>
      <c r="B147" s="15"/>
    </row>
    <row r="148" spans="1:2">
      <c r="A148" s="15"/>
      <c r="B148" s="15"/>
    </row>
    <row r="149" spans="1:2">
      <c r="A149" s="15"/>
      <c r="B149" s="15"/>
    </row>
    <row r="150" spans="1:2">
      <c r="A150" s="15"/>
      <c r="B150" s="15"/>
    </row>
    <row r="151" spans="1:2">
      <c r="A151" s="15"/>
      <c r="B151" s="15"/>
    </row>
    <row r="152" spans="1:2">
      <c r="A152" s="15"/>
      <c r="B152" s="15"/>
    </row>
    <row r="153" spans="1:2">
      <c r="A153" s="15"/>
      <c r="B153" s="15"/>
    </row>
    <row r="154" spans="1:2">
      <c r="A154" s="15"/>
      <c r="B154" s="15"/>
    </row>
    <row r="155" spans="1:2">
      <c r="A155" s="15"/>
      <c r="B155" s="15"/>
    </row>
    <row r="156" spans="1:2">
      <c r="A156" s="15"/>
      <c r="B156" s="15"/>
    </row>
    <row r="157" spans="1:2">
      <c r="A157" s="15"/>
      <c r="B157" s="15"/>
    </row>
    <row r="158" spans="1:2">
      <c r="A158" s="15"/>
      <c r="B158" s="15"/>
    </row>
    <row r="159" spans="1:2">
      <c r="A159" s="15"/>
      <c r="B159" s="15"/>
    </row>
    <row r="160" spans="1:2">
      <c r="A160" s="15"/>
      <c r="B160" s="15"/>
    </row>
    <row r="161" spans="1:2">
      <c r="A161" s="15"/>
      <c r="B161" s="15"/>
    </row>
    <row r="162" spans="1:2">
      <c r="A162" s="15"/>
      <c r="B162" s="15"/>
    </row>
    <row r="163" spans="1:2">
      <c r="A163" s="15"/>
      <c r="B163" s="15"/>
    </row>
    <row r="164" spans="1:2">
      <c r="A164" s="15"/>
      <c r="B164" s="15"/>
    </row>
    <row r="165" spans="1:2">
      <c r="A165" s="15"/>
      <c r="B165" s="15"/>
    </row>
    <row r="166" spans="1:2">
      <c r="A166" s="15"/>
      <c r="B166" s="15"/>
    </row>
    <row r="167" spans="1:2">
      <c r="A167" s="15"/>
      <c r="B167" s="15"/>
    </row>
    <row r="168" spans="1:2">
      <c r="A168" s="15"/>
      <c r="B168" s="15"/>
    </row>
    <row r="169" spans="1:2">
      <c r="A169" s="15"/>
      <c r="B169" s="15"/>
    </row>
    <row r="170" spans="1:2">
      <c r="A170" s="15"/>
      <c r="B170" s="15"/>
    </row>
    <row r="171" spans="1:2">
      <c r="A171" s="15"/>
      <c r="B171" s="15"/>
    </row>
    <row r="172" spans="1:2">
      <c r="A172" s="15"/>
      <c r="B172" s="15"/>
    </row>
    <row r="173" spans="1:2">
      <c r="A173" s="15"/>
      <c r="B173" s="15"/>
    </row>
    <row r="174" spans="1:2">
      <c r="A174" s="15"/>
      <c r="B174" s="15"/>
    </row>
    <row r="175" spans="1:2">
      <c r="A175" s="15"/>
      <c r="B175" s="15"/>
    </row>
    <row r="176" spans="1:2">
      <c r="A176" s="15"/>
      <c r="B176" s="15"/>
    </row>
    <row r="177" spans="1:2">
      <c r="A177" s="15"/>
      <c r="B177" s="15"/>
    </row>
    <row r="178" spans="1:2">
      <c r="A178" s="15"/>
      <c r="B178" s="15"/>
    </row>
    <row r="179" spans="1:2">
      <c r="A179" s="15"/>
      <c r="B179" s="15"/>
    </row>
    <row r="180" spans="1:2">
      <c r="A180" s="15"/>
      <c r="B180" s="15"/>
    </row>
    <row r="181" spans="1:2">
      <c r="A181" s="15"/>
      <c r="B181" s="15"/>
    </row>
    <row r="182" spans="1:2">
      <c r="A182" s="15"/>
      <c r="B182" s="15"/>
    </row>
    <row r="183" spans="1:2">
      <c r="A183" s="15"/>
      <c r="B183" s="15"/>
    </row>
    <row r="184" spans="1:2">
      <c r="A184" s="15"/>
      <c r="B184" s="15"/>
    </row>
    <row r="185" spans="1:2">
      <c r="A185" s="15"/>
      <c r="B185" s="15"/>
    </row>
    <row r="186" spans="1:2">
      <c r="A186" s="15"/>
      <c r="B186" s="15"/>
    </row>
    <row r="187" spans="1:2">
      <c r="A187" s="15"/>
      <c r="B187" s="15"/>
    </row>
    <row r="188" spans="1:2">
      <c r="A188" s="15"/>
      <c r="B188" s="15"/>
    </row>
    <row r="189" spans="1:2">
      <c r="A189" s="15"/>
      <c r="B189" s="15"/>
    </row>
    <row r="190" spans="1:2">
      <c r="A190" s="15"/>
      <c r="B190" s="15"/>
    </row>
    <row r="191" spans="1:2">
      <c r="A191" s="15"/>
      <c r="B191" s="15"/>
    </row>
    <row r="192" spans="1:2">
      <c r="A192" s="15"/>
      <c r="B192" s="15"/>
    </row>
    <row r="193" spans="1:2">
      <c r="A193" s="15"/>
      <c r="B193" s="15"/>
    </row>
    <row r="194" spans="1:2">
      <c r="A194" s="15"/>
      <c r="B194" s="15"/>
    </row>
    <row r="195" spans="1:2">
      <c r="A195" s="15"/>
      <c r="B195" s="15"/>
    </row>
    <row r="196" spans="1:2">
      <c r="A196" s="15"/>
      <c r="B196" s="15"/>
    </row>
    <row r="197" spans="1:2">
      <c r="A197" s="15"/>
      <c r="B197" s="15"/>
    </row>
    <row r="198" spans="1:2">
      <c r="A198" s="15"/>
      <c r="B198" s="15"/>
    </row>
    <row r="199" spans="1:2">
      <c r="A199" s="15"/>
      <c r="B199" s="15"/>
    </row>
    <row r="200" spans="1:2">
      <c r="A200" s="15"/>
      <c r="B200" s="15"/>
    </row>
    <row r="201" spans="1:2">
      <c r="A201" s="15"/>
      <c r="B201" s="15"/>
    </row>
    <row r="202" spans="1:2">
      <c r="A202" s="15"/>
      <c r="B202" s="15"/>
    </row>
    <row r="203" spans="1:2">
      <c r="A203" s="15"/>
      <c r="B203" s="15"/>
    </row>
    <row r="204" spans="1:2">
      <c r="A204" s="15"/>
      <c r="B204" s="15"/>
    </row>
    <row r="205" spans="1:2">
      <c r="A205" s="15"/>
      <c r="B205" s="15"/>
    </row>
    <row r="206" spans="1:2">
      <c r="A206" s="15"/>
      <c r="B206" s="15"/>
    </row>
  </sheetData>
  <mergeCells count="1">
    <mergeCell ref="I1:M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520CB-CB2D-1049-9295-36F8FDD17A4C}">
  <dimension ref="A1:N39"/>
  <sheetViews>
    <sheetView zoomScale="150" zoomScaleNormal="150" workbookViewId="0">
      <selection activeCell="C28" sqref="C28"/>
    </sheetView>
  </sheetViews>
  <sheetFormatPr baseColWidth="10" defaultColWidth="12.83203125" defaultRowHeight="14"/>
  <cols>
    <col min="1" max="1" width="20.1640625" style="32" bestFit="1" customWidth="1"/>
    <col min="2" max="2" width="17.6640625" style="32" bestFit="1" customWidth="1"/>
    <col min="3" max="16384" width="12.83203125" style="32"/>
  </cols>
  <sheetData>
    <row r="1" spans="1:6">
      <c r="A1" s="53" t="s">
        <v>10</v>
      </c>
      <c r="B1" s="53"/>
      <c r="C1" s="53"/>
      <c r="D1" s="53"/>
      <c r="E1" s="53"/>
    </row>
    <row r="2" spans="1:6">
      <c r="A2" s="97" t="s">
        <v>13</v>
      </c>
      <c r="B2" s="97"/>
      <c r="C2" s="97"/>
      <c r="D2" s="33">
        <v>10</v>
      </c>
      <c r="E2" s="33" t="s">
        <v>14</v>
      </c>
    </row>
    <row r="3" spans="1:6">
      <c r="A3" s="3" t="s">
        <v>16</v>
      </c>
      <c r="B3" s="3" t="s">
        <v>2</v>
      </c>
      <c r="C3" s="3" t="s">
        <v>11</v>
      </c>
      <c r="D3" s="3" t="s">
        <v>12</v>
      </c>
      <c r="E3" s="3" t="s">
        <v>15</v>
      </c>
    </row>
    <row r="4" spans="1:6">
      <c r="A4" s="33" t="s">
        <v>23</v>
      </c>
      <c r="B4" s="33">
        <f>calc_data!C9</f>
        <v>69.55</v>
      </c>
      <c r="C4" s="34">
        <f>calc_data!D9</f>
        <v>10.106029864042394</v>
      </c>
      <c r="D4" s="35">
        <f>(C4-$D$2)/$D$2</f>
        <v>1.0602986404239446E-2</v>
      </c>
      <c r="E4" s="98">
        <f>AVERAGE(D4:D8)</f>
        <v>3.4595190154552244E-2</v>
      </c>
    </row>
    <row r="5" spans="1:6">
      <c r="A5" s="33" t="s">
        <v>24</v>
      </c>
      <c r="B5" s="33">
        <f>calc_data!C19</f>
        <v>71.44</v>
      </c>
      <c r="C5" s="34">
        <f>calc_data!D19</f>
        <v>10.381852644383581</v>
      </c>
      <c r="D5" s="35">
        <f>(C5-$D$2)/$D$2</f>
        <v>3.8185264438358145E-2</v>
      </c>
      <c r="E5" s="98"/>
    </row>
    <row r="6" spans="1:6">
      <c r="A6" s="33" t="s">
        <v>25</v>
      </c>
      <c r="B6" s="33">
        <f>calc_data!C29</f>
        <v>71.33</v>
      </c>
      <c r="C6" s="34">
        <f>calc_data!D29</f>
        <v>10.365799466691767</v>
      </c>
      <c r="D6" s="35">
        <f t="shared" ref="D6:D8" si="0">(C6-$D$2)/$D$2</f>
        <v>3.6579946669176702E-2</v>
      </c>
      <c r="E6" s="98"/>
    </row>
    <row r="7" spans="1:6">
      <c r="A7" s="33" t="s">
        <v>38</v>
      </c>
      <c r="B7" s="33">
        <f>calc_data!C39</f>
        <v>71.41</v>
      </c>
      <c r="C7" s="34">
        <f>calc_data!D39</f>
        <v>10.377474505013087</v>
      </c>
      <c r="D7" s="35">
        <f t="shared" si="0"/>
        <v>3.7747450501308677E-2</v>
      </c>
      <c r="E7" s="98"/>
    </row>
    <row r="8" spans="1:6">
      <c r="A8" s="33" t="s">
        <v>40</v>
      </c>
      <c r="B8" s="33">
        <f>calc_data!C64</f>
        <v>72.239999999999995</v>
      </c>
      <c r="C8" s="34">
        <f>calc_data!D64</f>
        <v>10.498603027596783</v>
      </c>
      <c r="D8" s="35">
        <f t="shared" si="0"/>
        <v>4.9860302759678274E-2</v>
      </c>
      <c r="E8" s="98"/>
    </row>
    <row r="9" spans="1:6" s="2" customFormat="1"/>
    <row r="11" spans="1:6">
      <c r="A11" s="66" t="s">
        <v>83</v>
      </c>
      <c r="B11" s="66"/>
      <c r="C11" s="66"/>
      <c r="D11" s="66"/>
      <c r="E11" s="66"/>
      <c r="F11" s="6"/>
    </row>
    <row r="12" spans="1:6">
      <c r="A12" s="62" t="s">
        <v>9</v>
      </c>
      <c r="B12" s="62" t="s">
        <v>1</v>
      </c>
      <c r="C12" s="62" t="s">
        <v>0</v>
      </c>
      <c r="D12" s="62" t="s">
        <v>44</v>
      </c>
      <c r="E12" s="62" t="s">
        <v>45</v>
      </c>
    </row>
    <row r="13" spans="1:6">
      <c r="A13" s="63" t="str">
        <f>calculations!B45</f>
        <v>SLOC plain matrix</v>
      </c>
      <c r="B13" s="64" t="str">
        <f>calc_data!A8</f>
        <v>Vial_24</v>
      </c>
      <c r="C13" s="65">
        <f>calc_data!D8</f>
        <v>3.4322860836177878</v>
      </c>
      <c r="D13" s="95">
        <f>AVERAGE(C13:C14)</f>
        <v>3.3549389547390422</v>
      </c>
      <c r="E13" s="96">
        <f>(C13-C14)/C13</f>
        <v>4.5070327469450375E-2</v>
      </c>
    </row>
    <row r="14" spans="1:6">
      <c r="A14" s="63"/>
      <c r="B14" s="64" t="str">
        <f>calc_data!A11</f>
        <v>Vial_43_SLOC_0_REP</v>
      </c>
      <c r="C14" s="65">
        <f>calc_data!D11</f>
        <v>3.2775918258602967</v>
      </c>
      <c r="D14" s="95"/>
      <c r="E14" s="96"/>
    </row>
    <row r="15" spans="1:6">
      <c r="A15" s="63" t="str">
        <f>calculations!B46</f>
        <v>SLOC 10 mg/L matrix spike</v>
      </c>
      <c r="B15" s="64" t="str">
        <f>calc_data!A3</f>
        <v>Vial_19</v>
      </c>
      <c r="C15" s="65">
        <f>calc_data!D3</f>
        <v>12.861338907873941</v>
      </c>
      <c r="D15" s="95">
        <f>AVERAGE(C15:C16)</f>
        <v>13.074408357238031</v>
      </c>
      <c r="E15" s="96">
        <f t="shared" ref="E15:E19" si="1">(C15-C16)/C15</f>
        <v>-3.3133323192913587E-2</v>
      </c>
    </row>
    <row r="16" spans="1:6">
      <c r="A16" s="63"/>
      <c r="B16" s="64" t="str">
        <f>calc_data!A12</f>
        <v>Vial_44_SLOC_10_REP</v>
      </c>
      <c r="C16" s="65">
        <f>calc_data!D12</f>
        <v>13.287477806602123</v>
      </c>
      <c r="D16" s="95"/>
      <c r="E16" s="96"/>
    </row>
    <row r="17" spans="1:5">
      <c r="A17" s="63" t="str">
        <f>calculations!B47</f>
        <v>SLOW plain matrix</v>
      </c>
      <c r="B17" s="64" t="str">
        <f>calc_data!A18</f>
        <v>Vial_30</v>
      </c>
      <c r="C17" s="65">
        <f>calc_data!D18</f>
        <v>1.965609394501949</v>
      </c>
      <c r="D17" s="95">
        <f t="shared" ref="D17" si="2">AVERAGE(C17:C18)</f>
        <v>1.8875325757281209</v>
      </c>
      <c r="E17" s="96">
        <f t="shared" si="1"/>
        <v>7.9442862851814469E-2</v>
      </c>
    </row>
    <row r="18" spans="1:5">
      <c r="A18" s="63"/>
      <c r="B18" s="64" t="str">
        <f>calc_data!A21</f>
        <v>Vial_45_SLOW_0_REP</v>
      </c>
      <c r="C18" s="65">
        <f>calc_data!D21</f>
        <v>1.8094557569542926</v>
      </c>
      <c r="D18" s="95"/>
      <c r="E18" s="96"/>
    </row>
    <row r="19" spans="1:5">
      <c r="A19" s="63" t="str">
        <f>calculations!B48</f>
        <v>SLOW 10 mg/L matrix spike</v>
      </c>
      <c r="B19" s="64" t="str">
        <f>calc_data!A13</f>
        <v>Vial_25</v>
      </c>
      <c r="C19" s="65">
        <f>calc_data!D13</f>
        <v>11.922957702797836</v>
      </c>
      <c r="D19" s="95">
        <f t="shared" ref="D19" si="3">AVERAGE(C19:C20)</f>
        <v>11.831016776017439</v>
      </c>
      <c r="E19" s="96">
        <f t="shared" si="1"/>
        <v>1.5422503219787779E-2</v>
      </c>
    </row>
    <row r="20" spans="1:5">
      <c r="A20" s="63"/>
      <c r="B20" s="64" t="str">
        <f>calc_data!A22</f>
        <v>Vial_46_SLOW_10_REP</v>
      </c>
      <c r="C20" s="65">
        <f>calc_data!D22</f>
        <v>11.739075849237043</v>
      </c>
      <c r="D20" s="95"/>
      <c r="E20" s="96"/>
    </row>
    <row r="21" spans="1:5">
      <c r="A21" s="63" t="str">
        <f>calculations!B49</f>
        <v>VDOS plain matrix</v>
      </c>
      <c r="B21" s="64" t="str">
        <f>calc_data!A28</f>
        <v>Vial_36</v>
      </c>
      <c r="C21" s="65">
        <f>calc_data!D28</f>
        <v>4.8858283546221415</v>
      </c>
      <c r="D21" s="95">
        <f>AVERAGE(C21:C22)</f>
        <v>4.7384309958154756</v>
      </c>
      <c r="E21" s="96">
        <f>(C21-C22)/C21</f>
        <v>6.0336691389178264E-2</v>
      </c>
    </row>
    <row r="22" spans="1:5">
      <c r="A22" s="63"/>
      <c r="B22" s="64" t="str">
        <f>calc_data!A31</f>
        <v>Vial_47_VDOS_0_REP</v>
      </c>
      <c r="C22" s="65">
        <f>calc_data!D31</f>
        <v>4.5910336370088087</v>
      </c>
      <c r="D22" s="95"/>
      <c r="E22" s="96"/>
    </row>
    <row r="23" spans="1:5">
      <c r="A23" s="63" t="str">
        <f>calculations!B50</f>
        <v>VDOS 10 mg/L matrix spike</v>
      </c>
      <c r="B23" s="64" t="str">
        <f>calc_data!A23</f>
        <v>Vial_31</v>
      </c>
      <c r="C23" s="65">
        <f>calc_data!D23</f>
        <v>14.768748293619613</v>
      </c>
      <c r="D23" s="95">
        <f>AVERAGE(C23:C24)</f>
        <v>14.688482405160538</v>
      </c>
      <c r="E23" s="96">
        <f t="shared" ref="E23" si="4">(C23-C24)/C23</f>
        <v>1.0869694149199013E-2</v>
      </c>
    </row>
    <row r="24" spans="1:5">
      <c r="A24" s="63"/>
      <c r="B24" s="64" t="str">
        <f>calc_data!A32</f>
        <v>Vial_48_VDOS_10_REP</v>
      </c>
      <c r="C24" s="65">
        <f>calc_data!D32</f>
        <v>14.608216516701463</v>
      </c>
      <c r="D24" s="95"/>
      <c r="E24" s="96"/>
    </row>
    <row r="25" spans="1:5">
      <c r="A25" s="63" t="str">
        <f>calculations!B51</f>
        <v>VDOW plain matrix</v>
      </c>
      <c r="B25" s="64" t="str">
        <f>calc_data!A38</f>
        <v>Vial_42</v>
      </c>
      <c r="C25" s="65">
        <f>calc_data!D38</f>
        <v>4.4436362782021419</v>
      </c>
      <c r="D25" s="95">
        <f t="shared" ref="D25" si="5">AVERAGE(C25:C26)</f>
        <v>4.3611813200578187</v>
      </c>
      <c r="E25" s="96">
        <f t="shared" ref="E25" si="6">(C25-C26)/C25</f>
        <v>3.7111479420041026E-2</v>
      </c>
    </row>
    <row r="26" spans="1:5">
      <c r="A26" s="63"/>
      <c r="B26" s="64" t="str">
        <f>calc_data!A41</f>
        <v>Vial_49_VDOW_0_REP</v>
      </c>
      <c r="C26" s="65">
        <f>calc_data!D41</f>
        <v>4.2787263619134954</v>
      </c>
      <c r="D26" s="95"/>
      <c r="E26" s="96"/>
    </row>
    <row r="27" spans="1:5">
      <c r="A27" s="63" t="str">
        <f>calculations!B52</f>
        <v>VDOW 10 mg/L matrix spike</v>
      </c>
      <c r="B27" s="64" t="str">
        <f>calc_data!A33</f>
        <v>Vial_37</v>
      </c>
      <c r="C27" s="65">
        <f>calc_data!D33</f>
        <v>13.910632977002585</v>
      </c>
      <c r="D27" s="95">
        <f t="shared" ref="D27" si="7">AVERAGE(C27:C28)</f>
        <v>14.033950569271529</v>
      </c>
      <c r="E27" s="96">
        <f t="shared" ref="E27" si="8">(C27-C28)/C27</f>
        <v>-1.7729975691661931E-2</v>
      </c>
    </row>
    <row r="28" spans="1:5">
      <c r="A28" s="63"/>
      <c r="B28" s="64" t="str">
        <f>calc_data!A42</f>
        <v>Vial_50_VDOW_10_REP</v>
      </c>
      <c r="C28" s="65">
        <f>calc_data!D42</f>
        <v>14.157268161540472</v>
      </c>
      <c r="D28" s="95"/>
      <c r="E28" s="96"/>
    </row>
    <row r="31" spans="1:5">
      <c r="A31" s="67" t="s">
        <v>47</v>
      </c>
      <c r="B31" s="67"/>
      <c r="C31" s="67"/>
    </row>
    <row r="32" spans="1:5" ht="14" customHeight="1">
      <c r="A32" s="99" t="s">
        <v>46</v>
      </c>
      <c r="B32" s="67" t="s">
        <v>2</v>
      </c>
      <c r="C32" s="67" t="s">
        <v>169</v>
      </c>
    </row>
    <row r="33" spans="1:14" ht="14" customHeight="1">
      <c r="A33" s="99"/>
      <c r="B33" s="36" t="s">
        <v>0</v>
      </c>
      <c r="C33" s="36" t="s">
        <v>0</v>
      </c>
    </row>
    <row r="34" spans="1:14">
      <c r="A34" s="52" t="str">
        <f>calc_data!A10</f>
        <v>Vial_14_blank1</v>
      </c>
      <c r="B34" s="37">
        <f>calc_data!C10</f>
        <v>0.58609999999999995</v>
      </c>
      <c r="C34" s="38">
        <f>(B34-cal_curves!$J$23)/cal_curves!$J$24</f>
        <v>4.1577672946297051E-2</v>
      </c>
      <c r="N34" s="39"/>
    </row>
    <row r="35" spans="1:14">
      <c r="A35" s="52" t="str">
        <f>calc_data!A20</f>
        <v>Vial_15_blank2</v>
      </c>
      <c r="B35" s="37">
        <f>calc_data!C20</f>
        <v>0.42730000000000001</v>
      </c>
      <c r="C35" s="38">
        <f>(B35-cal_curves!$J$23)/cal_curves!$J$24</f>
        <v>1.8402721878476642E-2</v>
      </c>
      <c r="N35" s="39"/>
    </row>
    <row r="36" spans="1:14">
      <c r="A36" s="52" t="str">
        <f>calc_data!A30</f>
        <v>Vial_16_blank3</v>
      </c>
      <c r="B36" s="37">
        <f>calc_data!C30</f>
        <v>0.64990000000000003</v>
      </c>
      <c r="C36" s="38">
        <f>(B36-cal_curves!$J$23)/cal_curves!$J$24</f>
        <v>5.0888516007549844E-2</v>
      </c>
      <c r="N36" s="39"/>
    </row>
    <row r="37" spans="1:14">
      <c r="A37" s="52" t="str">
        <f>calc_data!A40</f>
        <v>Vial_17_blank4</v>
      </c>
      <c r="B37" s="37">
        <f>calc_data!C40</f>
        <v>0.55349999999999999</v>
      </c>
      <c r="C37" s="38">
        <f>(B37-cal_curves!$J$23)/cal_curves!$J$24</f>
        <v>3.6820094830359112E-2</v>
      </c>
      <c r="N37" s="39"/>
    </row>
    <row r="38" spans="1:14">
      <c r="A38" s="52" t="str">
        <f>calc_data!A65</f>
        <v>Vial_18_blank5</v>
      </c>
      <c r="B38" s="37">
        <f>calc_data!C65</f>
        <v>0.3891</v>
      </c>
      <c r="C38" s="38">
        <f>(B38-cal_curves!$J$23)/cal_curves!$J$24</f>
        <v>1.282789108004629E-2</v>
      </c>
      <c r="N38" s="39"/>
    </row>
    <row r="39" spans="1:14">
      <c r="A39" s="52"/>
      <c r="B39" s="37"/>
      <c r="C39" s="37"/>
    </row>
  </sheetData>
  <mergeCells count="19">
    <mergeCell ref="A32:A33"/>
    <mergeCell ref="D17:D18"/>
    <mergeCell ref="E17:E18"/>
    <mergeCell ref="E19:E20"/>
    <mergeCell ref="D19:D20"/>
    <mergeCell ref="D21:D22"/>
    <mergeCell ref="E21:E22"/>
    <mergeCell ref="D27:D28"/>
    <mergeCell ref="E27:E28"/>
    <mergeCell ref="D23:D24"/>
    <mergeCell ref="E23:E24"/>
    <mergeCell ref="D25:D26"/>
    <mergeCell ref="E25:E26"/>
    <mergeCell ref="D15:D16"/>
    <mergeCell ref="E15:E16"/>
    <mergeCell ref="A2:C2"/>
    <mergeCell ref="E4:E8"/>
    <mergeCell ref="D13:D14"/>
    <mergeCell ref="E13:E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F715F-BF55-8A48-ADC6-61C6CAE3FC1A}">
  <dimension ref="A1:R95"/>
  <sheetViews>
    <sheetView zoomScale="160" zoomScaleNormal="160" workbookViewId="0">
      <selection activeCell="E77" sqref="E77"/>
    </sheetView>
  </sheetViews>
  <sheetFormatPr baseColWidth="10" defaultRowHeight="14"/>
  <cols>
    <col min="1" max="1" width="2.83203125" style="6" bestFit="1" customWidth="1"/>
    <col min="2" max="2" width="36" style="9" bestFit="1" customWidth="1"/>
    <col min="3" max="3" width="6.5" style="9" customWidth="1"/>
    <col min="4" max="4" width="9" style="9" bestFit="1" customWidth="1"/>
    <col min="5" max="5" width="8.83203125" style="9" bestFit="1" customWidth="1"/>
    <col min="6" max="6" width="7.1640625" style="9" bestFit="1" customWidth="1"/>
    <col min="7" max="7" width="19.33203125" style="2" bestFit="1" customWidth="1"/>
    <col min="8" max="8" width="8.1640625" style="2" bestFit="1" customWidth="1"/>
    <col min="9" max="9" width="13.1640625" style="2" bestFit="1" customWidth="1"/>
    <col min="10" max="10" width="9.83203125" style="2" customWidth="1"/>
    <col min="11" max="11" width="19.83203125" style="2" bestFit="1" customWidth="1"/>
    <col min="12" max="12" width="9.6640625" style="2" customWidth="1"/>
    <col min="13" max="14" width="9.6640625" style="2" bestFit="1" customWidth="1"/>
    <col min="15" max="15" width="10.83203125" style="2"/>
    <col min="16" max="16" width="5" style="2" customWidth="1"/>
    <col min="17" max="17" width="11.1640625" style="2" bestFit="1" customWidth="1"/>
    <col min="18" max="16384" width="10.83203125" style="2"/>
  </cols>
  <sheetData>
    <row r="1" spans="1:18">
      <c r="A1" s="100" t="s">
        <v>30</v>
      </c>
      <c r="B1" s="100"/>
      <c r="C1" s="100"/>
      <c r="D1" s="100"/>
      <c r="E1" s="100"/>
      <c r="F1" s="100"/>
      <c r="G1" s="101" t="s">
        <v>31</v>
      </c>
      <c r="H1" s="101"/>
      <c r="I1" s="3" t="s">
        <v>39</v>
      </c>
      <c r="K1" s="102" t="s">
        <v>48</v>
      </c>
      <c r="L1" s="102"/>
      <c r="M1" s="102"/>
      <c r="N1" s="31" t="s">
        <v>32</v>
      </c>
      <c r="O1" s="31"/>
    </row>
    <row r="2" spans="1:18">
      <c r="A2" s="11" t="s">
        <v>33</v>
      </c>
      <c r="B2" s="18" t="s">
        <v>9</v>
      </c>
      <c r="C2" s="18" t="s">
        <v>56</v>
      </c>
      <c r="D2" s="18" t="s">
        <v>53</v>
      </c>
      <c r="E2" s="18" t="s">
        <v>54</v>
      </c>
      <c r="F2" s="18" t="s">
        <v>55</v>
      </c>
      <c r="G2" s="2" t="s">
        <v>50</v>
      </c>
      <c r="H2" s="2">
        <v>1000</v>
      </c>
      <c r="K2" s="2" t="s">
        <v>50</v>
      </c>
      <c r="L2" s="2">
        <v>1000</v>
      </c>
      <c r="M2" s="2" t="s">
        <v>23</v>
      </c>
      <c r="N2" s="2">
        <v>0.2462</v>
      </c>
      <c r="Q2" s="14"/>
      <c r="R2" s="6"/>
    </row>
    <row r="3" spans="1:18">
      <c r="A3" s="6">
        <v>1</v>
      </c>
      <c r="B3" s="9" t="s">
        <v>34</v>
      </c>
      <c r="G3" s="2" t="s">
        <v>49</v>
      </c>
      <c r="H3" s="2">
        <v>100</v>
      </c>
      <c r="I3" s="6"/>
      <c r="K3" s="2" t="s">
        <v>49</v>
      </c>
      <c r="L3" s="2">
        <v>25</v>
      </c>
      <c r="M3" s="2" t="s">
        <v>24</v>
      </c>
      <c r="N3" s="2">
        <v>0.25130000000000002</v>
      </c>
    </row>
    <row r="4" spans="1:18">
      <c r="A4" s="6">
        <v>2</v>
      </c>
      <c r="B4" s="9" t="s">
        <v>122</v>
      </c>
      <c r="G4" s="2" t="s">
        <v>51</v>
      </c>
      <c r="H4" s="2">
        <v>20</v>
      </c>
      <c r="K4" s="2" t="s">
        <v>51</v>
      </c>
      <c r="L4" s="2">
        <v>10</v>
      </c>
      <c r="M4" s="2" t="s">
        <v>25</v>
      </c>
      <c r="N4" s="2">
        <v>0.25169999999999998</v>
      </c>
    </row>
    <row r="5" spans="1:18">
      <c r="A5" s="6">
        <v>3</v>
      </c>
      <c r="B5" s="9" t="s">
        <v>123</v>
      </c>
      <c r="M5" s="2" t="s">
        <v>25</v>
      </c>
      <c r="N5" s="2">
        <v>0.25230000000000002</v>
      </c>
      <c r="Q5" s="14"/>
      <c r="R5" s="6"/>
    </row>
    <row r="6" spans="1:18">
      <c r="A6" s="6">
        <v>4</v>
      </c>
      <c r="B6" s="9" t="s">
        <v>124</v>
      </c>
      <c r="G6" s="6" t="s">
        <v>52</v>
      </c>
      <c r="H6" s="6">
        <f>(H4*H3)/H2</f>
        <v>2</v>
      </c>
      <c r="I6" s="2">
        <v>1.9463999999999999</v>
      </c>
      <c r="K6" s="6" t="s">
        <v>52</v>
      </c>
      <c r="L6" s="6">
        <f>(L4*L3)/L2</f>
        <v>0.25</v>
      </c>
      <c r="M6" s="2" t="s">
        <v>40</v>
      </c>
      <c r="N6" s="2">
        <v>0.25140000000000001</v>
      </c>
    </row>
    <row r="7" spans="1:18">
      <c r="A7" s="6">
        <v>5</v>
      </c>
      <c r="B7" s="9" t="s">
        <v>125</v>
      </c>
      <c r="G7" s="6"/>
      <c r="H7" s="6"/>
      <c r="K7" s="6"/>
      <c r="L7" s="6"/>
      <c r="O7" s="6"/>
      <c r="Q7" s="14"/>
      <c r="R7" s="6"/>
    </row>
    <row r="8" spans="1:18">
      <c r="A8" s="6">
        <v>6</v>
      </c>
      <c r="B8" s="9" t="s">
        <v>126</v>
      </c>
      <c r="N8" s="17"/>
      <c r="O8" s="17"/>
    </row>
    <row r="9" spans="1:18">
      <c r="A9" s="6">
        <v>7</v>
      </c>
      <c r="B9" s="9" t="s">
        <v>127</v>
      </c>
      <c r="G9" s="2" t="s">
        <v>50</v>
      </c>
      <c r="H9" s="2">
        <v>1000</v>
      </c>
    </row>
    <row r="10" spans="1:18">
      <c r="A10" s="6">
        <v>8</v>
      </c>
      <c r="B10" s="9" t="s">
        <v>87</v>
      </c>
      <c r="G10" s="2" t="s">
        <v>49</v>
      </c>
      <c r="H10" s="2">
        <v>100</v>
      </c>
    </row>
    <row r="11" spans="1:18">
      <c r="A11" s="6">
        <v>9</v>
      </c>
      <c r="B11" s="19" t="s">
        <v>176</v>
      </c>
      <c r="E11" s="48"/>
      <c r="G11" s="2" t="s">
        <v>51</v>
      </c>
      <c r="H11" s="2">
        <v>10</v>
      </c>
    </row>
    <row r="12" spans="1:18">
      <c r="A12" s="6">
        <v>10</v>
      </c>
      <c r="B12" s="19" t="s">
        <v>177</v>
      </c>
      <c r="E12" s="48"/>
    </row>
    <row r="13" spans="1:18">
      <c r="A13" s="6">
        <v>11</v>
      </c>
      <c r="B13" s="9" t="s">
        <v>178</v>
      </c>
      <c r="E13" s="48"/>
      <c r="G13" s="6" t="s">
        <v>52</v>
      </c>
      <c r="H13" s="6">
        <f>(H11*H10)/H9</f>
        <v>1</v>
      </c>
      <c r="I13" s="2">
        <v>0.97670000000000001</v>
      </c>
      <c r="N13" s="6"/>
      <c r="O13" s="6"/>
    </row>
    <row r="14" spans="1:18">
      <c r="A14" s="6">
        <v>12</v>
      </c>
      <c r="B14" s="9" t="s">
        <v>179</v>
      </c>
      <c r="E14" s="48"/>
      <c r="G14" s="6"/>
      <c r="H14" s="6"/>
    </row>
    <row r="15" spans="1:18">
      <c r="A15" s="6">
        <v>13</v>
      </c>
      <c r="B15" s="9" t="s">
        <v>182</v>
      </c>
      <c r="E15" s="48"/>
      <c r="N15" s="17"/>
      <c r="O15" s="17"/>
    </row>
    <row r="16" spans="1:18">
      <c r="A16" s="6">
        <v>14</v>
      </c>
      <c r="B16" s="9" t="s">
        <v>57</v>
      </c>
      <c r="E16" s="48"/>
      <c r="G16" s="2" t="s">
        <v>50</v>
      </c>
      <c r="H16" s="2">
        <v>1000</v>
      </c>
    </row>
    <row r="17" spans="1:16">
      <c r="A17" s="6">
        <v>15</v>
      </c>
      <c r="B17" s="9" t="s">
        <v>58</v>
      </c>
      <c r="E17" s="48"/>
      <c r="G17" s="2" t="s">
        <v>49</v>
      </c>
      <c r="H17" s="2">
        <v>100</v>
      </c>
    </row>
    <row r="18" spans="1:16">
      <c r="A18" s="6">
        <v>16</v>
      </c>
      <c r="B18" s="9" t="s">
        <v>180</v>
      </c>
      <c r="E18" s="48"/>
      <c r="G18" s="2" t="s">
        <v>51</v>
      </c>
      <c r="H18" s="2">
        <v>5</v>
      </c>
    </row>
    <row r="19" spans="1:16">
      <c r="A19" s="6">
        <v>17</v>
      </c>
      <c r="B19" s="9" t="s">
        <v>181</v>
      </c>
      <c r="E19" s="48"/>
    </row>
    <row r="20" spans="1:16">
      <c r="A20" s="6">
        <v>18</v>
      </c>
      <c r="B20" s="9" t="s">
        <v>183</v>
      </c>
      <c r="E20" s="48"/>
      <c r="G20" s="6" t="s">
        <v>52</v>
      </c>
      <c r="H20" s="6">
        <f>(H18*H17)/H16</f>
        <v>0.5</v>
      </c>
      <c r="I20" s="2">
        <v>0.48980000000000001</v>
      </c>
      <c r="P20" s="8"/>
    </row>
    <row r="21" spans="1:16">
      <c r="A21" s="6">
        <v>19</v>
      </c>
      <c r="B21" s="47" t="s">
        <v>145</v>
      </c>
      <c r="C21" s="2" t="s">
        <v>240</v>
      </c>
      <c r="E21" s="48"/>
      <c r="G21" s="6"/>
      <c r="H21" s="6"/>
    </row>
    <row r="22" spans="1:16">
      <c r="A22" s="6">
        <v>20</v>
      </c>
      <c r="B22" s="47" t="s">
        <v>146</v>
      </c>
      <c r="C22" s="2" t="s">
        <v>240</v>
      </c>
      <c r="E22" s="48"/>
      <c r="G22" s="6"/>
      <c r="H22" s="6"/>
    </row>
    <row r="23" spans="1:16">
      <c r="A23" s="6">
        <v>21</v>
      </c>
      <c r="B23" s="47" t="s">
        <v>147</v>
      </c>
      <c r="C23" s="2" t="s">
        <v>240</v>
      </c>
      <c r="D23" s="9" t="s">
        <v>241</v>
      </c>
      <c r="G23" s="2" t="s">
        <v>50</v>
      </c>
      <c r="H23" s="2">
        <v>1000</v>
      </c>
    </row>
    <row r="24" spans="1:16">
      <c r="A24" s="6">
        <v>22</v>
      </c>
      <c r="B24" s="47" t="s">
        <v>148</v>
      </c>
      <c r="C24" s="2" t="s">
        <v>239</v>
      </c>
      <c r="G24" s="2" t="s">
        <v>49</v>
      </c>
      <c r="H24" s="2">
        <v>100</v>
      </c>
    </row>
    <row r="25" spans="1:16">
      <c r="A25" s="6">
        <v>23</v>
      </c>
      <c r="B25" s="40" t="s">
        <v>149</v>
      </c>
      <c r="C25" s="2" t="s">
        <v>239</v>
      </c>
      <c r="G25" s="2" t="s">
        <v>51</v>
      </c>
      <c r="H25" s="2">
        <v>2</v>
      </c>
      <c r="O25" s="6"/>
    </row>
    <row r="26" spans="1:16">
      <c r="A26" s="6">
        <v>24</v>
      </c>
      <c r="B26" s="40" t="s">
        <v>150</v>
      </c>
      <c r="C26" s="2" t="s">
        <v>239</v>
      </c>
      <c r="P26" s="8"/>
    </row>
    <row r="27" spans="1:16">
      <c r="A27" s="6">
        <v>25</v>
      </c>
      <c r="B27" s="43" t="s">
        <v>151</v>
      </c>
      <c r="C27" s="2" t="s">
        <v>244</v>
      </c>
      <c r="G27" s="6" t="s">
        <v>52</v>
      </c>
      <c r="H27" s="6">
        <f>(H25*H24)/H23</f>
        <v>0.2</v>
      </c>
      <c r="I27" s="2">
        <v>0.19500000000000001</v>
      </c>
      <c r="O27" s="6"/>
    </row>
    <row r="28" spans="1:16">
      <c r="A28" s="6">
        <v>26</v>
      </c>
      <c r="B28" s="43" t="s">
        <v>152</v>
      </c>
      <c r="C28" s="2" t="s">
        <v>244</v>
      </c>
      <c r="G28" s="6"/>
      <c r="H28" s="6"/>
      <c r="O28" s="6"/>
    </row>
    <row r="29" spans="1:16">
      <c r="A29" s="6">
        <v>27</v>
      </c>
      <c r="B29" s="43" t="s">
        <v>153</v>
      </c>
      <c r="C29" s="2" t="s">
        <v>244</v>
      </c>
      <c r="D29" s="9" t="s">
        <v>242</v>
      </c>
    </row>
    <row r="30" spans="1:16">
      <c r="A30" s="6">
        <v>28</v>
      </c>
      <c r="B30" s="43" t="s">
        <v>154</v>
      </c>
      <c r="C30" s="2" t="s">
        <v>243</v>
      </c>
      <c r="G30" s="2" t="s">
        <v>50</v>
      </c>
      <c r="H30" s="2">
        <v>1000</v>
      </c>
    </row>
    <row r="31" spans="1:16">
      <c r="A31" s="6">
        <v>29</v>
      </c>
      <c r="B31" s="49" t="s">
        <v>155</v>
      </c>
      <c r="C31" s="2" t="s">
        <v>243</v>
      </c>
      <c r="G31" s="2" t="s">
        <v>49</v>
      </c>
      <c r="H31" s="2">
        <v>100</v>
      </c>
      <c r="I31" s="7"/>
      <c r="N31" s="6"/>
      <c r="O31" s="6"/>
    </row>
    <row r="32" spans="1:16">
      <c r="A32" s="6">
        <v>30</v>
      </c>
      <c r="B32" s="49" t="s">
        <v>156</v>
      </c>
      <c r="C32" s="2" t="s">
        <v>243</v>
      </c>
      <c r="G32" s="2" t="s">
        <v>51</v>
      </c>
      <c r="H32" s="2">
        <v>1</v>
      </c>
      <c r="I32" s="7"/>
    </row>
    <row r="33" spans="1:15">
      <c r="A33" s="6">
        <v>31</v>
      </c>
      <c r="B33" s="50" t="s">
        <v>157</v>
      </c>
      <c r="C33" s="2" t="s">
        <v>245</v>
      </c>
      <c r="J33" s="7"/>
      <c r="K33" s="13"/>
      <c r="L33" s="13"/>
      <c r="O33" s="6"/>
    </row>
    <row r="34" spans="1:15">
      <c r="A34" s="6">
        <v>32</v>
      </c>
      <c r="B34" s="50" t="s">
        <v>158</v>
      </c>
      <c r="C34" s="2" t="s">
        <v>245</v>
      </c>
      <c r="G34" s="6" t="s">
        <v>52</v>
      </c>
      <c r="H34" s="6">
        <f>(H32*H31)/H30</f>
        <v>0.1</v>
      </c>
      <c r="I34" s="2">
        <v>9.5600000000000004E-2</v>
      </c>
      <c r="J34" s="7"/>
      <c r="O34" s="6"/>
    </row>
    <row r="35" spans="1:15">
      <c r="A35" s="6">
        <v>33</v>
      </c>
      <c r="B35" s="50" t="s">
        <v>159</v>
      </c>
      <c r="C35" s="2" t="s">
        <v>245</v>
      </c>
      <c r="D35" s="9" t="s">
        <v>247</v>
      </c>
      <c r="G35" s="6"/>
      <c r="H35" s="6"/>
      <c r="J35" s="7"/>
    </row>
    <row r="36" spans="1:15">
      <c r="A36" s="6">
        <v>34</v>
      </c>
      <c r="B36" s="50" t="s">
        <v>160</v>
      </c>
      <c r="C36" s="2" t="s">
        <v>246</v>
      </c>
      <c r="G36" s="10"/>
      <c r="H36" s="12"/>
      <c r="J36" s="7"/>
    </row>
    <row r="37" spans="1:15">
      <c r="A37" s="6">
        <v>35</v>
      </c>
      <c r="B37" s="42" t="s">
        <v>161</v>
      </c>
      <c r="C37" s="2" t="s">
        <v>246</v>
      </c>
      <c r="G37" s="2" t="s">
        <v>50</v>
      </c>
      <c r="H37" s="2">
        <v>1000</v>
      </c>
      <c r="J37" s="7"/>
      <c r="K37" s="7"/>
      <c r="L37" s="7"/>
    </row>
    <row r="38" spans="1:15">
      <c r="A38" s="6">
        <v>36</v>
      </c>
      <c r="B38" s="42" t="s">
        <v>162</v>
      </c>
      <c r="C38" s="2" t="s">
        <v>246</v>
      </c>
      <c r="G38" s="2" t="s">
        <v>49</v>
      </c>
      <c r="H38" s="2">
        <v>100</v>
      </c>
      <c r="J38" s="7"/>
      <c r="K38" s="13"/>
      <c r="L38" s="13"/>
    </row>
    <row r="39" spans="1:15">
      <c r="A39" s="6">
        <v>37</v>
      </c>
      <c r="B39" s="51" t="s">
        <v>163</v>
      </c>
      <c r="C39" s="2" t="s">
        <v>248</v>
      </c>
      <c r="G39" s="2" t="s">
        <v>51</v>
      </c>
      <c r="H39" s="2">
        <v>0.5</v>
      </c>
      <c r="J39" s="7"/>
    </row>
    <row r="40" spans="1:15">
      <c r="A40" s="6">
        <v>38</v>
      </c>
      <c r="B40" s="51" t="s">
        <v>164</v>
      </c>
      <c r="C40" s="2" t="s">
        <v>248</v>
      </c>
      <c r="J40" s="7"/>
    </row>
    <row r="41" spans="1:15">
      <c r="A41" s="6">
        <v>39</v>
      </c>
      <c r="B41" s="51" t="s">
        <v>165</v>
      </c>
      <c r="C41" s="2" t="s">
        <v>248</v>
      </c>
      <c r="D41" s="9" t="s">
        <v>250</v>
      </c>
      <c r="G41" s="6" t="s">
        <v>52</v>
      </c>
      <c r="H41" s="6">
        <f>(H39*H38)/H37</f>
        <v>0.05</v>
      </c>
      <c r="I41" s="2">
        <v>4.8399999999999999E-2</v>
      </c>
      <c r="J41" s="7"/>
    </row>
    <row r="42" spans="1:15">
      <c r="A42" s="6">
        <v>40</v>
      </c>
      <c r="B42" s="51" t="s">
        <v>166</v>
      </c>
      <c r="C42" s="2" t="s">
        <v>249</v>
      </c>
      <c r="G42" s="6"/>
      <c r="H42" s="6"/>
      <c r="J42" s="7"/>
    </row>
    <row r="43" spans="1:15">
      <c r="A43" s="6">
        <v>41</v>
      </c>
      <c r="B43" s="41" t="s">
        <v>167</v>
      </c>
      <c r="C43" s="2" t="s">
        <v>249</v>
      </c>
      <c r="H43" s="12"/>
      <c r="J43" s="7"/>
    </row>
    <row r="44" spans="1:15">
      <c r="A44" s="6">
        <v>42</v>
      </c>
      <c r="B44" s="41" t="s">
        <v>168</v>
      </c>
      <c r="C44" s="2" t="s">
        <v>249</v>
      </c>
      <c r="H44" s="12"/>
    </row>
    <row r="45" spans="1:15">
      <c r="A45" s="6">
        <v>43</v>
      </c>
      <c r="B45" s="40" t="s">
        <v>150</v>
      </c>
      <c r="C45" s="9" t="s">
        <v>238</v>
      </c>
      <c r="D45" s="2" t="s">
        <v>239</v>
      </c>
      <c r="G45" s="2" t="s">
        <v>129</v>
      </c>
      <c r="H45" s="2">
        <v>10</v>
      </c>
    </row>
    <row r="46" spans="1:15">
      <c r="A46" s="6">
        <v>44</v>
      </c>
      <c r="B46" s="47" t="s">
        <v>145</v>
      </c>
      <c r="C46" s="9" t="s">
        <v>238</v>
      </c>
      <c r="D46" s="2" t="s">
        <v>240</v>
      </c>
      <c r="G46" s="2" t="s">
        <v>130</v>
      </c>
      <c r="H46" s="6">
        <v>500</v>
      </c>
    </row>
    <row r="47" spans="1:15">
      <c r="A47" s="6">
        <v>45</v>
      </c>
      <c r="B47" s="49" t="s">
        <v>156</v>
      </c>
      <c r="C47" s="9" t="s">
        <v>238</v>
      </c>
      <c r="D47" s="2" t="s">
        <v>243</v>
      </c>
      <c r="G47" s="2" t="s">
        <v>131</v>
      </c>
      <c r="H47" s="2">
        <v>1000</v>
      </c>
    </row>
    <row r="48" spans="1:15">
      <c r="A48" s="6">
        <v>46</v>
      </c>
      <c r="B48" s="43" t="s">
        <v>151</v>
      </c>
      <c r="C48" s="9" t="s">
        <v>238</v>
      </c>
      <c r="D48" s="2" t="s">
        <v>244</v>
      </c>
      <c r="G48" s="2" t="s">
        <v>128</v>
      </c>
      <c r="H48" s="2">
        <f>H45*H46/H47</f>
        <v>5</v>
      </c>
    </row>
    <row r="49" spans="1:8">
      <c r="A49" s="6">
        <v>47</v>
      </c>
      <c r="B49" s="42" t="s">
        <v>162</v>
      </c>
      <c r="C49" s="9" t="s">
        <v>238</v>
      </c>
      <c r="D49" s="2" t="s">
        <v>246</v>
      </c>
    </row>
    <row r="50" spans="1:8">
      <c r="A50" s="6">
        <v>48</v>
      </c>
      <c r="B50" s="50" t="s">
        <v>157</v>
      </c>
      <c r="C50" s="9" t="s">
        <v>238</v>
      </c>
      <c r="D50" s="2" t="s">
        <v>245</v>
      </c>
      <c r="G50" s="2" t="s">
        <v>129</v>
      </c>
      <c r="H50" s="2">
        <v>5</v>
      </c>
    </row>
    <row r="51" spans="1:8">
      <c r="A51" s="6">
        <v>49</v>
      </c>
      <c r="B51" s="41" t="s">
        <v>168</v>
      </c>
      <c r="C51" s="9" t="s">
        <v>238</v>
      </c>
      <c r="D51" s="2" t="s">
        <v>249</v>
      </c>
      <c r="G51" s="2" t="s">
        <v>130</v>
      </c>
      <c r="H51" s="6">
        <v>250</v>
      </c>
    </row>
    <row r="52" spans="1:8">
      <c r="A52" s="6">
        <v>50</v>
      </c>
      <c r="B52" s="51" t="s">
        <v>163</v>
      </c>
      <c r="C52" s="9" t="s">
        <v>238</v>
      </c>
      <c r="D52" s="2" t="s">
        <v>248</v>
      </c>
      <c r="G52" s="2" t="s">
        <v>131</v>
      </c>
      <c r="H52" s="2">
        <v>1000</v>
      </c>
    </row>
    <row r="53" spans="1:8">
      <c r="A53" s="6">
        <v>51</v>
      </c>
      <c r="B53" s="19" t="s">
        <v>184</v>
      </c>
      <c r="C53" s="2" t="s">
        <v>293</v>
      </c>
      <c r="D53" s="2"/>
      <c r="G53" s="2" t="s">
        <v>128</v>
      </c>
      <c r="H53" s="2">
        <f>H50*H51/H52</f>
        <v>1.25</v>
      </c>
    </row>
    <row r="54" spans="1:8">
      <c r="A54" s="6">
        <v>52</v>
      </c>
      <c r="B54" s="19" t="s">
        <v>185</v>
      </c>
      <c r="C54" s="2" t="s">
        <v>294</v>
      </c>
      <c r="D54" s="2"/>
    </row>
    <row r="55" spans="1:8">
      <c r="A55" s="6">
        <v>53</v>
      </c>
      <c r="B55" s="19" t="s">
        <v>186</v>
      </c>
      <c r="C55" s="2" t="s">
        <v>295</v>
      </c>
      <c r="D55" s="2"/>
      <c r="G55" s="2" t="s">
        <v>129</v>
      </c>
      <c r="H55" s="2">
        <v>2</v>
      </c>
    </row>
    <row r="56" spans="1:8">
      <c r="A56" s="6">
        <v>54</v>
      </c>
      <c r="B56" s="19" t="s">
        <v>187</v>
      </c>
      <c r="C56" s="2" t="s">
        <v>296</v>
      </c>
      <c r="D56" s="2"/>
      <c r="G56" s="2" t="s">
        <v>130</v>
      </c>
      <c r="H56" s="6">
        <v>250</v>
      </c>
    </row>
    <row r="57" spans="1:8">
      <c r="A57" s="6">
        <v>55</v>
      </c>
      <c r="B57" s="19" t="s">
        <v>188</v>
      </c>
      <c r="C57" s="2" t="s">
        <v>297</v>
      </c>
      <c r="D57" s="2"/>
      <c r="G57" s="2" t="s">
        <v>131</v>
      </c>
      <c r="H57" s="2">
        <v>1000</v>
      </c>
    </row>
    <row r="58" spans="1:8">
      <c r="A58" s="6">
        <v>56</v>
      </c>
      <c r="B58" s="19" t="s">
        <v>189</v>
      </c>
      <c r="C58" s="2" t="s">
        <v>298</v>
      </c>
      <c r="D58" s="2"/>
      <c r="G58" s="2" t="s">
        <v>128</v>
      </c>
      <c r="H58" s="2">
        <f>H55*H56/H57</f>
        <v>0.5</v>
      </c>
    </row>
    <row r="59" spans="1:8">
      <c r="A59" s="6">
        <v>57</v>
      </c>
      <c r="B59" s="19" t="s">
        <v>190</v>
      </c>
      <c r="C59" s="2" t="s">
        <v>299</v>
      </c>
      <c r="D59" s="2"/>
    </row>
    <row r="60" spans="1:8">
      <c r="A60" s="6">
        <v>58</v>
      </c>
      <c r="B60" s="19" t="s">
        <v>191</v>
      </c>
      <c r="C60" s="2" t="s">
        <v>310</v>
      </c>
      <c r="D60" s="2"/>
      <c r="G60" s="2" t="s">
        <v>129</v>
      </c>
      <c r="H60" s="2">
        <v>1</v>
      </c>
    </row>
    <row r="61" spans="1:8">
      <c r="A61" s="6">
        <v>59</v>
      </c>
      <c r="B61" s="19" t="s">
        <v>192</v>
      </c>
      <c r="C61" s="9" t="s">
        <v>311</v>
      </c>
      <c r="D61" s="2"/>
      <c r="G61" s="2" t="s">
        <v>130</v>
      </c>
      <c r="H61" s="6">
        <v>250</v>
      </c>
    </row>
    <row r="62" spans="1:8">
      <c r="A62" s="6">
        <v>60</v>
      </c>
      <c r="B62" s="19" t="s">
        <v>193</v>
      </c>
      <c r="C62" s="2" t="s">
        <v>300</v>
      </c>
      <c r="D62" s="2"/>
      <c r="G62" s="2" t="s">
        <v>131</v>
      </c>
      <c r="H62" s="2">
        <v>1000</v>
      </c>
    </row>
    <row r="63" spans="1:8">
      <c r="A63" s="6">
        <v>61</v>
      </c>
      <c r="B63" s="19" t="s">
        <v>194</v>
      </c>
      <c r="C63" s="2" t="s">
        <v>301</v>
      </c>
      <c r="D63" s="2"/>
      <c r="G63" s="2" t="s">
        <v>128</v>
      </c>
      <c r="H63" s="2">
        <f>H60*H61/H62</f>
        <v>0.25</v>
      </c>
    </row>
    <row r="64" spans="1:8">
      <c r="A64" s="6">
        <v>62</v>
      </c>
      <c r="B64" s="19" t="s">
        <v>195</v>
      </c>
      <c r="C64" s="2" t="s">
        <v>302</v>
      </c>
      <c r="D64" s="2"/>
    </row>
    <row r="65" spans="1:8">
      <c r="A65" s="6">
        <v>63</v>
      </c>
      <c r="B65" s="19" t="s">
        <v>196</v>
      </c>
      <c r="C65" s="2" t="s">
        <v>303</v>
      </c>
      <c r="D65" s="2"/>
      <c r="G65" s="2" t="s">
        <v>129</v>
      </c>
      <c r="H65" s="2">
        <v>0.5</v>
      </c>
    </row>
    <row r="66" spans="1:8">
      <c r="A66" s="6">
        <v>64</v>
      </c>
      <c r="B66" s="19" t="s">
        <v>197</v>
      </c>
      <c r="C66" s="9" t="s">
        <v>308</v>
      </c>
      <c r="D66" s="2"/>
      <c r="G66" s="2" t="s">
        <v>130</v>
      </c>
      <c r="H66" s="6">
        <v>500</v>
      </c>
    </row>
    <row r="67" spans="1:8">
      <c r="A67" s="6">
        <v>65</v>
      </c>
      <c r="B67" s="19" t="s">
        <v>198</v>
      </c>
      <c r="C67" s="2" t="s">
        <v>304</v>
      </c>
      <c r="D67" s="2"/>
      <c r="G67" s="2" t="s">
        <v>131</v>
      </c>
      <c r="H67" s="2">
        <v>1000</v>
      </c>
    </row>
    <row r="68" spans="1:8">
      <c r="A68" s="6">
        <v>66</v>
      </c>
      <c r="B68" s="19" t="s">
        <v>199</v>
      </c>
      <c r="C68" s="2" t="s">
        <v>305</v>
      </c>
      <c r="D68" s="2"/>
      <c r="G68" s="2" t="s">
        <v>128</v>
      </c>
      <c r="H68" s="2">
        <f>H65*H66/H67</f>
        <v>0.25</v>
      </c>
    </row>
    <row r="69" spans="1:8">
      <c r="A69" s="6">
        <v>67</v>
      </c>
      <c r="B69" s="19" t="s">
        <v>200</v>
      </c>
      <c r="C69" s="2" t="s">
        <v>306</v>
      </c>
    </row>
    <row r="70" spans="1:8">
      <c r="A70" s="6">
        <v>68</v>
      </c>
      <c r="B70" s="19" t="s">
        <v>201</v>
      </c>
      <c r="C70" s="2" t="s">
        <v>307</v>
      </c>
      <c r="G70" s="2" t="s">
        <v>132</v>
      </c>
    </row>
    <row r="71" spans="1:8">
      <c r="A71" s="6">
        <v>69</v>
      </c>
      <c r="B71" s="19" t="s">
        <v>202</v>
      </c>
      <c r="C71" s="2" t="s">
        <v>309</v>
      </c>
    </row>
    <row r="72" spans="1:8">
      <c r="A72" s="6">
        <v>70</v>
      </c>
      <c r="B72" s="19" t="s">
        <v>203</v>
      </c>
      <c r="C72" s="2" t="s">
        <v>312</v>
      </c>
    </row>
    <row r="73" spans="1:8">
      <c r="A73" s="6">
        <v>71</v>
      </c>
      <c r="B73" s="19"/>
    </row>
    <row r="74" spans="1:8">
      <c r="A74" s="6">
        <v>72</v>
      </c>
      <c r="B74" s="19"/>
    </row>
    <row r="75" spans="1:8">
      <c r="A75" s="6">
        <v>73</v>
      </c>
      <c r="B75" s="19"/>
    </row>
    <row r="76" spans="1:8">
      <c r="A76" s="6">
        <v>74</v>
      </c>
      <c r="B76" s="19"/>
    </row>
    <row r="77" spans="1:8">
      <c r="A77" s="6">
        <v>75</v>
      </c>
      <c r="B77" s="19"/>
    </row>
    <row r="78" spans="1:8">
      <c r="A78" s="6">
        <v>76</v>
      </c>
      <c r="B78" s="19"/>
    </row>
    <row r="79" spans="1:8">
      <c r="A79" s="6">
        <v>77</v>
      </c>
      <c r="B79" s="19"/>
    </row>
    <row r="80" spans="1:8">
      <c r="A80" s="6">
        <v>78</v>
      </c>
      <c r="B80" s="19"/>
    </row>
    <row r="81" spans="1:2">
      <c r="A81" s="6">
        <v>79</v>
      </c>
      <c r="B81" s="19"/>
    </row>
    <row r="82" spans="1:2">
      <c r="A82" s="6">
        <v>80</v>
      </c>
      <c r="B82" s="19"/>
    </row>
    <row r="83" spans="1:2">
      <c r="A83" s="6">
        <v>81</v>
      </c>
      <c r="B83" s="19"/>
    </row>
    <row r="84" spans="1:2">
      <c r="A84" s="6">
        <v>82</v>
      </c>
      <c r="B84" s="19"/>
    </row>
    <row r="85" spans="1:2">
      <c r="A85" s="6">
        <v>83</v>
      </c>
      <c r="B85" s="19"/>
    </row>
    <row r="86" spans="1:2">
      <c r="A86" s="6">
        <v>84</v>
      </c>
      <c r="B86" s="19"/>
    </row>
    <row r="87" spans="1:2">
      <c r="A87" s="6">
        <v>85</v>
      </c>
      <c r="B87" s="19"/>
    </row>
    <row r="88" spans="1:2">
      <c r="A88" s="6">
        <v>86</v>
      </c>
      <c r="B88" s="19"/>
    </row>
    <row r="89" spans="1:2">
      <c r="A89" s="6">
        <v>87</v>
      </c>
      <c r="B89" s="19"/>
    </row>
    <row r="90" spans="1:2">
      <c r="A90" s="6">
        <v>88</v>
      </c>
      <c r="B90" s="19"/>
    </row>
    <row r="91" spans="1:2">
      <c r="A91" s="6">
        <v>89</v>
      </c>
      <c r="B91" s="19"/>
    </row>
    <row r="92" spans="1:2">
      <c r="A92" s="6">
        <v>90</v>
      </c>
      <c r="B92" s="19"/>
    </row>
    <row r="93" spans="1:2">
      <c r="A93" s="6">
        <v>91</v>
      </c>
      <c r="B93" s="19"/>
    </row>
    <row r="94" spans="1:2">
      <c r="A94" s="6">
        <v>92</v>
      </c>
      <c r="B94" s="19"/>
    </row>
    <row r="95" spans="1:2">
      <c r="A95" s="6">
        <v>93</v>
      </c>
      <c r="B95" s="19"/>
    </row>
  </sheetData>
  <sortState xmlns:xlrd2="http://schemas.microsoft.com/office/spreadsheetml/2017/richdata2" ref="B23:B34">
    <sortCondition ref="B23:B34"/>
  </sortState>
  <mergeCells count="3">
    <mergeCell ref="A1:F1"/>
    <mergeCell ref="G1:H1"/>
    <mergeCell ref="K1:M1"/>
  </mergeCells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8D85C-8F36-744E-8020-0154AAFB4691}">
  <dimension ref="A1:C45"/>
  <sheetViews>
    <sheetView tabSelected="1" topLeftCell="A12" zoomScale="130" zoomScaleNormal="130" workbookViewId="0">
      <selection activeCell="D12" sqref="D12"/>
    </sheetView>
  </sheetViews>
  <sheetFormatPr baseColWidth="10" defaultColWidth="14.1640625" defaultRowHeight="16"/>
  <cols>
    <col min="1" max="1" width="25.33203125" style="84" bestFit="1" customWidth="1"/>
    <col min="2" max="16384" width="14.1640625" style="84"/>
  </cols>
  <sheetData>
    <row r="1" spans="1:3">
      <c r="A1" s="84" t="s">
        <v>317</v>
      </c>
      <c r="B1" s="84" t="s">
        <v>315</v>
      </c>
      <c r="C1" s="84" t="s">
        <v>316</v>
      </c>
    </row>
    <row r="2" spans="1:3">
      <c r="A2" s="84" t="s">
        <v>145</v>
      </c>
      <c r="B2" s="103">
        <v>12.861338907873941</v>
      </c>
    </row>
    <row r="3" spans="1:3">
      <c r="A3" s="84" t="s">
        <v>146</v>
      </c>
      <c r="B3" s="103">
        <v>8.2438612517918379</v>
      </c>
    </row>
    <row r="4" spans="1:3">
      <c r="A4" s="84" t="s">
        <v>147</v>
      </c>
      <c r="B4" s="103">
        <v>5.5308742218750773</v>
      </c>
    </row>
    <row r="5" spans="1:3">
      <c r="A5" s="84" t="s">
        <v>148</v>
      </c>
      <c r="B5" s="103">
        <v>4.4144486823988416</v>
      </c>
    </row>
    <row r="6" spans="1:3">
      <c r="A6" s="84" t="s">
        <v>149</v>
      </c>
      <c r="B6" s="103">
        <v>4.0831694700313843</v>
      </c>
    </row>
    <row r="7" spans="1:3">
      <c r="A7" s="84" t="s">
        <v>150</v>
      </c>
      <c r="B7" s="103">
        <v>3.4322860836177878</v>
      </c>
    </row>
    <row r="8" spans="1:3">
      <c r="A8" s="84" t="s">
        <v>151</v>
      </c>
      <c r="B8" s="103">
        <v>11.922957702797836</v>
      </c>
    </row>
    <row r="9" spans="1:3">
      <c r="A9" s="84" t="s">
        <v>152</v>
      </c>
      <c r="B9" s="103">
        <v>6.9435538587548109</v>
      </c>
    </row>
    <row r="10" spans="1:3">
      <c r="A10" s="84" t="s">
        <v>153</v>
      </c>
      <c r="B10" s="103">
        <v>4.1021414073035292</v>
      </c>
    </row>
    <row r="11" spans="1:3">
      <c r="A11" s="83" t="s">
        <v>154</v>
      </c>
      <c r="B11" s="103">
        <v>2.9871752476174587</v>
      </c>
      <c r="C11" s="85"/>
    </row>
    <row r="12" spans="1:3">
      <c r="A12" s="83" t="s">
        <v>155</v>
      </c>
      <c r="B12" s="103">
        <v>2.4209358890334336</v>
      </c>
    </row>
    <row r="13" spans="1:3">
      <c r="A13" s="83" t="s">
        <v>156</v>
      </c>
      <c r="B13" s="103">
        <v>1.965609394501949</v>
      </c>
      <c r="C13" s="85"/>
    </row>
    <row r="14" spans="1:3">
      <c r="A14" s="83" t="s">
        <v>157</v>
      </c>
      <c r="B14" s="103">
        <v>14.768748293619613</v>
      </c>
      <c r="C14" s="85"/>
    </row>
    <row r="15" spans="1:3">
      <c r="A15" s="83" t="s">
        <v>158</v>
      </c>
      <c r="B15" s="103">
        <v>9.7105379409076757</v>
      </c>
      <c r="C15" s="85"/>
    </row>
    <row r="16" spans="1:3">
      <c r="A16" s="83" t="s">
        <v>159</v>
      </c>
      <c r="B16" s="103">
        <v>6.7815627020464939</v>
      </c>
      <c r="C16" s="85"/>
    </row>
    <row r="17" spans="1:3">
      <c r="A17" s="83" t="s">
        <v>160</v>
      </c>
      <c r="B17" s="103">
        <v>5.8461002565507201</v>
      </c>
      <c r="C17" s="85"/>
    </row>
    <row r="18" spans="1:3">
      <c r="A18" s="83" t="s">
        <v>161</v>
      </c>
      <c r="B18" s="103">
        <v>5.2915359362880157</v>
      </c>
      <c r="C18" s="85"/>
    </row>
    <row r="19" spans="1:3">
      <c r="A19" s="83" t="s">
        <v>162</v>
      </c>
      <c r="B19" s="103">
        <v>4.8858283546221415</v>
      </c>
      <c r="C19" s="85"/>
    </row>
    <row r="20" spans="1:3">
      <c r="A20" s="83" t="s">
        <v>163</v>
      </c>
      <c r="B20" s="103">
        <v>13.910632977002585</v>
      </c>
    </row>
    <row r="21" spans="1:3">
      <c r="A21" s="83" t="s">
        <v>164</v>
      </c>
      <c r="B21" s="103">
        <v>9.2741833836483369</v>
      </c>
    </row>
    <row r="22" spans="1:3">
      <c r="A22" s="83" t="s">
        <v>165</v>
      </c>
      <c r="B22" s="103">
        <v>6.4429865907282107</v>
      </c>
    </row>
    <row r="23" spans="1:3">
      <c r="A23" s="83" t="s">
        <v>166</v>
      </c>
      <c r="B23" s="103">
        <v>5.5717368559996974</v>
      </c>
    </row>
    <row r="24" spans="1:3">
      <c r="A24" s="83" t="s">
        <v>167</v>
      </c>
      <c r="B24" s="103">
        <v>4.9865255601435274</v>
      </c>
    </row>
    <row r="25" spans="1:3">
      <c r="A25" s="83" t="s">
        <v>168</v>
      </c>
      <c r="B25" s="103">
        <v>4.4436362782021419</v>
      </c>
    </row>
    <row r="26" spans="1:3">
      <c r="A26" s="84" t="s">
        <v>184</v>
      </c>
      <c r="B26" s="103">
        <v>185.00540081636845</v>
      </c>
    </row>
    <row r="27" spans="1:3">
      <c r="A27" s="84" t="s">
        <v>185</v>
      </c>
      <c r="B27" s="103">
        <v>29.347952397368097</v>
      </c>
    </row>
    <row r="28" spans="1:3">
      <c r="A28" s="84" t="s">
        <v>186</v>
      </c>
      <c r="B28" s="103">
        <v>20.445735677361515</v>
      </c>
    </row>
    <row r="29" spans="1:3">
      <c r="A29" s="84" t="s">
        <v>187</v>
      </c>
      <c r="B29" s="103">
        <v>8.4277431053526293</v>
      </c>
    </row>
    <row r="30" spans="1:3">
      <c r="A30" s="84" t="s">
        <v>188</v>
      </c>
      <c r="B30" s="103">
        <v>4.7778342501499305</v>
      </c>
    </row>
    <row r="31" spans="1:3">
      <c r="A31" s="84" t="s">
        <v>189</v>
      </c>
      <c r="B31" s="103">
        <v>2.6529772756696706</v>
      </c>
    </row>
    <row r="32" spans="1:3">
      <c r="A32" s="84" t="s">
        <v>190</v>
      </c>
      <c r="B32" s="103">
        <v>1.7904838196821475</v>
      </c>
    </row>
    <row r="33" spans="1:2">
      <c r="A33" s="84" t="s">
        <v>191</v>
      </c>
      <c r="B33" s="103">
        <v>0.80175401184535089</v>
      </c>
    </row>
    <row r="34" spans="1:2">
      <c r="A34" s="84" t="s">
        <v>192</v>
      </c>
      <c r="B34" s="103">
        <v>0.42260714236048041</v>
      </c>
    </row>
    <row r="35" spans="1:2">
      <c r="A35" s="84" t="s">
        <v>193</v>
      </c>
      <c r="B35" s="103">
        <v>1.2633558394745448</v>
      </c>
    </row>
    <row r="36" spans="1:2">
      <c r="A36" s="84" t="s">
        <v>194</v>
      </c>
      <c r="B36" s="103">
        <v>0.69507334918428842</v>
      </c>
    </row>
    <row r="37" spans="1:2">
      <c r="A37" s="84" t="s">
        <v>195</v>
      </c>
      <c r="B37" s="103">
        <v>0.28819826368628265</v>
      </c>
    </row>
    <row r="38" spans="1:2">
      <c r="A38" s="84" t="s">
        <v>196</v>
      </c>
      <c r="B38" s="103">
        <v>0.15991878013077801</v>
      </c>
    </row>
    <row r="39" spans="1:2">
      <c r="A39" s="84" t="s">
        <v>197</v>
      </c>
      <c r="B39" s="103">
        <v>9.2320308250334576E-2</v>
      </c>
    </row>
    <row r="40" spans="1:2">
      <c r="A40" s="84" t="s">
        <v>198</v>
      </c>
      <c r="B40" s="103">
        <v>5.9995045898179535E-2</v>
      </c>
    </row>
    <row r="41" spans="1:2">
      <c r="A41" s="84" t="s">
        <v>199</v>
      </c>
      <c r="B41" s="103">
        <v>4.0147480751935347E-2</v>
      </c>
    </row>
    <row r="42" spans="1:2">
      <c r="A42" s="84" t="s">
        <v>200</v>
      </c>
      <c r="B42" s="103">
        <v>3.8133536641507627E-2</v>
      </c>
    </row>
    <row r="43" spans="1:2">
      <c r="A43" s="84" t="s">
        <v>201</v>
      </c>
      <c r="B43" s="103">
        <v>7.6953039059896991E-2</v>
      </c>
    </row>
    <row r="44" spans="1:2">
      <c r="A44" s="84" t="s">
        <v>202</v>
      </c>
      <c r="B44" s="103">
        <v>0.12182896760747114</v>
      </c>
    </row>
    <row r="45" spans="1:2">
      <c r="A45" s="84" t="s">
        <v>203</v>
      </c>
      <c r="B45" s="103">
        <v>0.42640152981490947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run_notes</vt:lpstr>
      <vt:lpstr>raw_data</vt:lpstr>
      <vt:lpstr>working_data</vt:lpstr>
      <vt:lpstr>cal_curves</vt:lpstr>
      <vt:lpstr>calc_data</vt:lpstr>
      <vt:lpstr>qc_rep_blanks</vt:lpstr>
      <vt:lpstr>calculations</vt:lpstr>
      <vt:lpstr>data_report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Christopher O'Connor</dc:creator>
  <cp:keywords/>
  <dc:description/>
  <cp:lastModifiedBy>Christopher O'Connor</cp:lastModifiedBy>
  <dcterms:created xsi:type="dcterms:W3CDTF">2024-10-10T19:32:44Z</dcterms:created>
  <dcterms:modified xsi:type="dcterms:W3CDTF">2025-07-30T20:06:31Z</dcterms:modified>
  <cp:category/>
</cp:coreProperties>
</file>